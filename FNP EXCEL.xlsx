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b52506b2fdd86b2/Desktop/final p/Fnp/"/>
    </mc:Choice>
  </mc:AlternateContent>
  <xr:revisionPtr revIDLastSave="1024" documentId="8_{1BEA9010-A0B9-4706-B05E-C66F0DD5CB90}" xr6:coauthVersionLast="47" xr6:coauthVersionMax="47" xr10:uidLastSave="{84473A2B-8F63-4251-9AFF-AB3FAD7260A9}"/>
  <bookViews>
    <workbookView xWindow="-108" yWindow="-108" windowWidth="23256" windowHeight="12456" activeTab="4" xr2:uid="{47485FB9-7F8A-4CD8-B111-E84A646D0C0F}"/>
  </bookViews>
  <sheets>
    <sheet name="Customers" sheetId="2" r:id="rId1"/>
    <sheet name="Orders" sheetId="3" r:id="rId2"/>
    <sheet name="Products" sheetId="4" r:id="rId3"/>
    <sheet name="Pivot table" sheetId="5" r:id="rId4"/>
    <sheet name="Dashboard" sheetId="6" r:id="rId5"/>
  </sheets>
  <definedNames>
    <definedName name="_xlcn.WorksheetConnection_Book1Products1" hidden="1">Products[]</definedName>
    <definedName name="ExternalData_1" localSheetId="0" hidden="1">'Customers'!$A$1:$G$101</definedName>
    <definedName name="ExternalData_2" localSheetId="1" hidden="1">Orders!$A$1:$Q$1001</definedName>
    <definedName name="ExternalData_3" localSheetId="2" hidden="1">Products!$A$1:$E$71</definedName>
    <definedName name="Slicer_Occasion">#N/A</definedName>
    <definedName name="Timeline_Delivery_Date">#N/A</definedName>
    <definedName name="Timeline_Order_Date">#N/A</definedName>
  </definedNames>
  <calcPr calcId="191029"/>
  <pivotCaches>
    <pivotCache cacheId="137" r:id="rId6"/>
    <pivotCache cacheId="140" r:id="rId7"/>
    <pivotCache cacheId="143" r:id="rId8"/>
    <pivotCache cacheId="146" r:id="rId9"/>
    <pivotCache cacheId="149" r:id="rId10"/>
    <pivotCache cacheId="152" r:id="rId11"/>
    <pivotCache cacheId="155"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f2717136-ef9d-4976-8292-8d34477b76ff" name="Customers" connection="Query - Customers"/>
          <x15:modelTable id="Orders_d269f2ac-5c74-4c01-ba74-c132931c6cfa" name="Orders" connection="Query - Orders"/>
          <x15:modelTable id="Products_2d0a1a8a-9503-4075-b31f-f221eca97760" name="Products" connection="Query - Product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6C486A-6FB2-4E48-B575-6FE84085E970}"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3ED39611-7AB0-4D5E-A486-CC1DC23106ED}"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695C49B3-8BE3-4EFA-9BC2-3159441D0B60}"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A892497C-D9C7-4A9F-9986-C5147A62A2FD}" name="Query - Customers" description="Connection to the 'Customers' query in the workbook." type="100" refreshedVersion="8" minRefreshableVersion="5">
    <extLst>
      <ext xmlns:x15="http://schemas.microsoft.com/office/spreadsheetml/2010/11/main" uri="{DE250136-89BD-433C-8126-D09CA5730AF9}">
        <x15:connection id="9192499a-06b2-47b8-865d-8e9b178b7858"/>
      </ext>
    </extLst>
  </connection>
  <connection id="5" xr16:uid="{ADBFF105-F0D0-4D0E-A262-FA989AFCA059}" name="Query - Orders" description="Connection to the 'Orders' query in the workbook." type="100" refreshedVersion="8" minRefreshableVersion="5">
    <extLst>
      <ext xmlns:x15="http://schemas.microsoft.com/office/spreadsheetml/2010/11/main" uri="{DE250136-89BD-433C-8126-D09CA5730AF9}">
        <x15:connection id="4f071f00-b141-41d9-84f9-0c52c0ca7e7d"/>
      </ext>
    </extLst>
  </connection>
  <connection id="6" xr16:uid="{5131E340-2A7F-413C-8AD0-C22566F78CCF}" name="Query - Products" description="Connection to the 'Products' query in the workbook." type="100" refreshedVersion="8" minRefreshableVersion="5">
    <extLst>
      <ext xmlns:x15="http://schemas.microsoft.com/office/spreadsheetml/2010/11/main" uri="{DE250136-89BD-433C-8126-D09CA5730AF9}">
        <x15:connection id="c0424fca-6f1d-4827-b2e0-a6a3c3b016f5"/>
      </ext>
    </extLst>
  </connection>
  <connection id="7" xr16:uid="{39FC9E99-3912-42EC-9C4F-BA4D8AB594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39912F86-DB9F-4710-B077-2979C0DB1CDA}"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<sst xmlns="http://schemas.openxmlformats.org/spreadsheetml/2006/main" count="6002" uniqueCount="937">
  <si>
    <t>Customer_ID</t>
  </si>
  <si>
    <t>Name</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</si>
  <si>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</si>
  <si>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</si>
  <si>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</si>
  <si>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</si>
  <si>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</si>
  <si>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</si>
  <si>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</si>
  <si>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</si>
  <si>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</si>
  <si>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</si>
  <si>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</si>
  <si>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</si>
  <si>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</si>
  <si>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</si>
  <si>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</si>
  <si>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</si>
  <si>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</si>
  <si>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</si>
  <si>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</si>
  <si>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</si>
  <si>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</si>
  <si>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</si>
  <si>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</si>
  <si>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</si>
  <si>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</si>
  <si>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</si>
  <si>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</si>
  <si>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</si>
  <si>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</si>
  <si>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</si>
  <si>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</si>
  <si>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</si>
  <si>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</si>
  <si>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</si>
  <si>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</si>
  <si>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</si>
  <si>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</si>
  <si>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</si>
  <si>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</si>
  <si>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</si>
  <si>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</si>
  <si>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</si>
  <si>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</si>
  <si>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</si>
  <si>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</si>
  <si>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</si>
  <si>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</si>
  <si>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</si>
  <si>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</si>
  <si>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</si>
  <si>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</si>
  <si>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</si>
  <si>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</si>
  <si>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</si>
  <si>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</si>
  <si>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</si>
  <si>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</si>
  <si>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</si>
  <si>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</si>
  <si>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</si>
  <si>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</si>
  <si>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</si>
  <si>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</si>
  <si>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</si>
  <si>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</si>
  <si>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</si>
  <si>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</si>
  <si>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</si>
  <si>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</si>
  <si>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</si>
  <si>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</si>
  <si>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</si>
  <si>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</si>
  <si>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</si>
  <si>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</si>
  <si>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</si>
  <si>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</si>
  <si>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</si>
  <si>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</si>
  <si>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</si>
  <si>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</si>
  <si>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</si>
  <si>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</si>
  <si>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</si>
  <si>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</si>
  <si>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</si>
  <si>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</si>
  <si>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</si>
  <si>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</si>
  <si>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</si>
  <si>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</si>
  <si>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</si>
  <si>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</si>
  <si>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</si>
  <si>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</si>
  <si>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</si>
  <si>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</si>
  <si>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</si>
  <si>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</si>
  <si>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08482992702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</si>
  <si>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</si>
  <si>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</si>
  <si>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</si>
  <si>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</si>
  <si>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</si>
  <si>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</si>
  <si>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</si>
  <si>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</si>
  <si>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</si>
  <si>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</si>
  <si>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</si>
  <si>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</si>
  <si>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</si>
  <si>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</si>
  <si>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</si>
  <si>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</si>
  <si>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</si>
  <si>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</si>
  <si>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</si>
  <si>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</si>
  <si>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</si>
  <si>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</si>
  <si>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</si>
  <si>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01731643700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</si>
  <si>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</si>
  <si>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</si>
  <si>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</si>
  <si>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</si>
  <si>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</si>
  <si>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</si>
  <si>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</si>
  <si>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</si>
  <si>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</si>
  <si>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</si>
  <si>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</si>
  <si>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</si>
  <si>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</si>
  <si>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</si>
  <si>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</si>
  <si>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</si>
  <si>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</si>
  <si>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</si>
  <si>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</si>
  <si>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</si>
  <si>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</si>
  <si>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</si>
  <si>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</si>
  <si>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</si>
  <si>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</si>
  <si>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</si>
  <si>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</si>
  <si>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</si>
  <si>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</si>
  <si>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</si>
  <si>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</si>
  <si>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</si>
  <si>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</si>
  <si>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</si>
  <si>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</si>
  <si>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</si>
  <si>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</si>
  <si>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</si>
  <si>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</si>
  <si>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</si>
  <si>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</si>
  <si>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</si>
  <si>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</si>
  <si>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</si>
  <si>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</si>
  <si>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</si>
  <si>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</si>
  <si>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</si>
  <si>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</si>
  <si>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</si>
  <si>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</si>
  <si>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</si>
  <si>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</si>
  <si>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9.12454E+11</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</si>
  <si>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</si>
  <si>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</si>
  <si>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</si>
  <si>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</si>
  <si>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</si>
  <si>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</si>
  <si>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</si>
  <si>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</si>
  <si>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</si>
  <si>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</si>
  <si>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</si>
  <si>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</si>
  <si>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</si>
  <si>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</si>
  <si>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</si>
  <si>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</si>
  <si>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</si>
  <si>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</si>
  <si>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</si>
  <si>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</si>
  <si>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</si>
  <si>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</si>
  <si>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</si>
  <si>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</si>
  <si>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</si>
  <si>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</si>
  <si>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</si>
  <si>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</si>
  <si>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</si>
  <si>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</si>
  <si>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</si>
  <si>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</si>
  <si>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</si>
  <si>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</si>
  <si>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</si>
  <si>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</si>
  <si>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</si>
  <si>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</si>
  <si>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</si>
  <si>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</si>
  <si>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</si>
  <si>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</si>
  <si>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</si>
  <si>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</si>
  <si>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</si>
  <si>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</si>
  <si>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</si>
  <si>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</si>
  <si>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</si>
  <si>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</si>
  <si>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</si>
  <si>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</si>
  <si>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</si>
  <si>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</si>
  <si>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</si>
  <si>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</si>
  <si>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</si>
  <si>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</si>
  <si>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</si>
  <si>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</si>
  <si>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</si>
  <si>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</si>
  <si>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</si>
  <si>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</si>
  <si>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</si>
  <si>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</si>
  <si>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</si>
  <si>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</si>
  <si>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</si>
  <si>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</si>
  <si>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</si>
  <si>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00625408216</t>
  </si>
  <si>
    <t>nirvisekhon@yahoo.com</t>
  </si>
  <si>
    <t>71/531
Kibe Circle, Indore-971559</t>
  </si>
  <si>
    <t>C042</t>
  </si>
  <si>
    <t>Eshani Sharma</t>
  </si>
  <si>
    <t>Ajmer</t>
  </si>
  <si>
    <t>9.16843E+11</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</si>
  <si>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</si>
  <si>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</si>
  <si>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</si>
  <si>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</si>
  <si>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</si>
  <si>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</si>
  <si>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</si>
  <si>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</si>
  <si>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</si>
  <si>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</si>
  <si>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</si>
  <si>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</si>
  <si>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</si>
  <si>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</si>
  <si>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</si>
  <si>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</si>
  <si>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</si>
  <si>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</si>
  <si>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</si>
  <si>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</si>
  <si>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</si>
  <si>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</si>
  <si>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</si>
  <si>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</si>
  <si>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</si>
  <si>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</si>
  <si>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</si>
  <si>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</si>
  <si>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</si>
  <si>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</si>
  <si>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</si>
  <si>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</si>
  <si>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</si>
  <si>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</si>
  <si>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</si>
  <si>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</si>
  <si>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</si>
  <si>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</si>
  <si>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</si>
  <si>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</si>
  <si>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</si>
  <si>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</si>
  <si>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</si>
  <si>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</si>
  <si>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</si>
  <si>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</si>
  <si>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</si>
  <si>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</si>
  <si>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</si>
  <si>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</si>
  <si>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</si>
  <si>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</si>
  <si>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</si>
  <si>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</si>
  <si>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</si>
  <si>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</si>
  <si>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</si>
  <si>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05846932069</t>
  </si>
  <si>
    <t>ysoman@thaman.com</t>
  </si>
  <si>
    <t>H.No. 78, Tara Nagar
Narasaraopet-260778</t>
  </si>
  <si>
    <t>C053</t>
  </si>
  <si>
    <t>Kismat Kapadia</t>
  </si>
  <si>
    <t>Bharatpur</t>
  </si>
  <si>
    <t>9.18068E+11</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</si>
  <si>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</si>
  <si>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</si>
  <si>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</si>
  <si>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</si>
  <si>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</si>
  <si>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</si>
  <si>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</si>
  <si>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</si>
  <si>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</si>
  <si>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</si>
  <si>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</si>
  <si>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</si>
  <si>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</si>
  <si>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</si>
  <si>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</si>
  <si>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</si>
  <si>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</si>
  <si>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</si>
  <si>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</si>
  <si>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</si>
  <si>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</si>
  <si>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</si>
  <si>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</si>
  <si>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</si>
  <si>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</si>
  <si>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</si>
  <si>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</si>
  <si>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</si>
  <si>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</si>
  <si>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</si>
  <si>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</si>
  <si>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</si>
  <si>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</si>
  <si>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</si>
  <si>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</si>
  <si>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</si>
  <si>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</si>
  <si>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</si>
  <si>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</si>
  <si>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</si>
  <si>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</si>
  <si>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</si>
  <si>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</si>
  <si>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</si>
  <si>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</si>
  <si>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</si>
  <si>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</si>
  <si>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</si>
  <si>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9.15915E+11</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</si>
  <si>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</si>
  <si>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</si>
  <si>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</si>
  <si>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</si>
  <si>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</si>
  <si>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</si>
  <si>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</si>
  <si>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</si>
  <si>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</si>
  <si>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</si>
  <si>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</si>
  <si>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</si>
  <si>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</si>
  <si>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</si>
  <si>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</si>
  <si>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</si>
  <si>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</si>
  <si>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</si>
  <si>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</si>
  <si>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</si>
  <si>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</si>
  <si>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</si>
  <si>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</si>
  <si>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</si>
  <si>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</si>
  <si>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</si>
  <si>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</si>
  <si>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</si>
  <si>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</si>
  <si>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</si>
  <si>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</si>
  <si>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</si>
  <si>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</si>
  <si>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</si>
  <si>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9.1372E+11</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</si>
  <si>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</si>
  <si>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</si>
  <si>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</si>
  <si>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</si>
  <si>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</si>
  <si>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</si>
  <si>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</si>
  <si>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</si>
  <si>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</si>
  <si>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</si>
  <si>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</si>
  <si>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</si>
  <si>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</si>
  <si>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</si>
  <si>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</si>
  <si>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</si>
  <si>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</si>
  <si>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</si>
  <si>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</si>
  <si>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</si>
  <si>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</si>
  <si>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</si>
  <si>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</si>
  <si>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</si>
  <si>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</si>
  <si>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</si>
  <si>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</si>
  <si>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</si>
  <si>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</si>
  <si>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</si>
  <si>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</si>
  <si>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</si>
  <si>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</si>
  <si>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</si>
  <si>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</si>
  <si>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</si>
  <si>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</si>
  <si>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</si>
  <si>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</si>
  <si>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</si>
  <si>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</si>
  <si>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</si>
  <si>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</si>
  <si>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</si>
  <si>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</si>
  <si>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</si>
  <si>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</si>
  <si>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</si>
  <si>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</si>
  <si>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</si>
  <si>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</si>
  <si>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</si>
  <si>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</si>
  <si>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</si>
  <si>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</si>
  <si>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</si>
  <si>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</si>
  <si>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</si>
  <si>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</si>
  <si>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</si>
  <si>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</si>
  <si>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</si>
  <si>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</si>
  <si>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</si>
  <si>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</si>
  <si>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</si>
  <si>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</si>
  <si>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</si>
  <si>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</si>
  <si>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</si>
  <si>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</si>
  <si>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</si>
  <si>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</si>
  <si>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</si>
  <si>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</si>
  <si>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</si>
  <si>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</si>
  <si>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</si>
  <si>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</si>
  <si>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</si>
  <si>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</si>
  <si>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</si>
  <si>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</si>
  <si>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</si>
  <si>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</si>
  <si>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</si>
  <si>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</si>
  <si>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</si>
  <si>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</si>
  <si>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</si>
  <si>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</si>
  <si>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</si>
  <si>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</si>
  <si>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</si>
  <si>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</si>
  <si>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</si>
  <si>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</si>
  <si>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</si>
  <si>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</si>
  <si>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</si>
  <si>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</si>
  <si>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</si>
  <si>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</si>
  <si>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</si>
  <si>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</si>
  <si>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</si>
  <si>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</si>
  <si>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</si>
  <si>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</si>
  <si>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</si>
  <si>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</si>
  <si>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</si>
  <si>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</si>
  <si>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</si>
  <si>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</si>
  <si>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</si>
  <si>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</si>
  <si>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</si>
  <si>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</si>
  <si>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</si>
  <si>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</si>
  <si>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</si>
  <si>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</si>
  <si>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</si>
  <si>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</si>
  <si>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</si>
  <si>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</si>
  <si>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</si>
  <si>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03327374841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</si>
  <si>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</si>
  <si>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</si>
  <si>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</si>
  <si>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</si>
  <si>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</si>
  <si>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</si>
  <si>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</si>
  <si>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</si>
  <si>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</si>
  <si>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</si>
  <si>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</si>
  <si>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</si>
  <si>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</si>
  <si>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</si>
  <si>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</si>
  <si>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</si>
  <si>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</si>
  <si>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</si>
  <si>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</si>
  <si>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</si>
  <si>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</si>
  <si>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</si>
  <si>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</si>
  <si>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</si>
  <si>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</si>
  <si>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</si>
  <si>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</si>
  <si>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</si>
  <si>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</si>
  <si>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</si>
  <si>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</si>
  <si>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</si>
  <si>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</si>
  <si>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</si>
  <si>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</si>
  <si>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</si>
  <si>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</si>
  <si>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</si>
  <si>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</si>
  <si>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</si>
  <si>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0456900126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</si>
  <si>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</si>
  <si>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</si>
  <si>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</si>
  <si>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</si>
  <si>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</si>
  <si>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</si>
  <si>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</si>
  <si>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</si>
  <si>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</si>
  <si>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</si>
  <si>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</si>
  <si>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</si>
  <si>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</si>
  <si>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</si>
  <si>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</si>
  <si>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</si>
  <si>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</si>
  <si>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</si>
  <si>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</si>
  <si>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</si>
  <si>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</si>
  <si>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</si>
  <si>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</si>
  <si>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</si>
  <si>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</si>
  <si>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</si>
  <si>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</si>
  <si>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</si>
  <si>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</si>
  <si>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</si>
  <si>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</si>
  <si>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(Dilivery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</si>
  <si>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</si>
  <si>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</si>
  <si>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</si>
  <si>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</si>
  <si>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</si>
  <si>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</si>
  <si>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</si>
  <si>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</si>
  <si>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</si>
  <si>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</si>
  <si>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</si>
  <si>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</si>
  <si>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</si>
  <si>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</si>
  <si>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</si>
  <si>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</si>
  <si>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</si>
  <si>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</si>
  <si>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</si>
  <si>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</si>
  <si>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</si>
  <si>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</si>
  <si>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</si>
  <si>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</si>
  <si>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</si>
  <si>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</si>
  <si>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</si>
  <si>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</si>
  <si>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</si>
  <si>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</si>
  <si>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</si>
  <si>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</si>
  <si>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</si>
  <si>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</si>
  <si>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</si>
  <si>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</si>
  <si>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</si>
  <si>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</si>
  <si>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</si>
  <si>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</si>
  <si>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</si>
  <si>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</si>
  <si>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</si>
  <si>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</si>
  <si>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</si>
  <si>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</si>
  <si>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</si>
  <si>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</si>
  <si>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</si>
  <si>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</si>
  <si>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</si>
  <si>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</si>
  <si>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</si>
  <si>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</si>
  <si>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</si>
  <si>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</si>
  <si>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</si>
  <si>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</si>
  <si>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</si>
  <si>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</si>
  <si>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</si>
  <si>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</si>
  <si>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</si>
  <si>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</si>
  <si>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</si>
  <si>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</si>
  <si>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</si>
  <si>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</si>
  <si>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</si>
  <si>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</si>
  <si>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</si>
  <si>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</si>
  <si>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</si>
  <si>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</si>
  <si>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</si>
  <si>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</si>
  <si>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</si>
  <si>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</si>
  <si>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</si>
  <si>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</si>
  <si>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</si>
  <si>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</si>
  <si>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</si>
  <si>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</si>
  <si>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</si>
  <si>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Gandhidham</t>
  </si>
  <si>
    <t>Khammam</t>
  </si>
  <si>
    <t>Ambala</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</si>
  <si>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</si>
  <si>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</si>
  <si>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</si>
  <si>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</si>
  <si>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</si>
  <si>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</si>
  <si>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</si>
  <si>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</si>
  <si>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</si>
  <si>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</si>
  <si>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</si>
  <si>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</si>
  <si>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</si>
  <si>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</si>
  <si>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</si>
  <si>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</si>
  <si>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</si>
  <si>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</si>
  <si>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</si>
  <si>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</si>
  <si>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</si>
  <si>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</si>
  <si>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</si>
  <si>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</si>
  <si>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</si>
  <si>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</si>
  <si>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</si>
  <si>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</si>
  <si>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</si>
  <si>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</si>
  <si>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</si>
  <si>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</si>
  <si>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</si>
  <si>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</si>
  <si>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</si>
  <si>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</si>
  <si>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</si>
  <si>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</si>
  <si>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</si>
  <si>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</si>
  <si>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</si>
  <si>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</si>
  <si>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</si>
  <si>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</si>
  <si>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</si>
  <si>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</si>
  <si>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</si>
  <si>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</si>
  <si>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</si>
  <si>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</si>
  <si>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</si>
  <si>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</si>
  <si>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</si>
  <si>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</si>
  <si>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</si>
  <si>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</si>
  <si>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</si>
  <si>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</si>
  <si>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</si>
  <si>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</si>
  <si>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</si>
  <si>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</si>
  <si>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</si>
  <si>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</si>
  <si>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</si>
  <si>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</si>
  <si>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</si>
  <si>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</si>
  <si>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</si>
  <si>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</si>
  <si>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</si>
  <si>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</si>
  <si>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</si>
  <si>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</si>
  <si>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</si>
  <si>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</si>
  <si>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</si>
  <si>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</si>
  <si>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</si>
  <si>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</si>
  <si>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</si>
  <si>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</si>
  <si>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</si>
  <si>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</si>
  <si>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</si>
  <si>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</si>
  <si>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</si>
  <si>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</si>
  <si>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</si>
  <si>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</si>
  <si>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</si>
  <si>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</si>
  <si>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</si>
  <si>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</si>
  <si>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</si>
  <si>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</si>
  <si>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</si>
  <si>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</si>
  <si>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</si>
  <si>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</si>
  <si>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</si>
  <si>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</si>
  <si>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</si>
  <si>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</si>
  <si>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</si>
  <si>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</si>
  <si>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</si>
  <si>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</si>
  <si>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</si>
  <si>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</si>
  <si>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</si>
  <si>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</si>
  <si>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</si>
  <si>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</si>
  <si>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</si>
  <si>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</si>
  <si>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</si>
  <si>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</si>
  <si>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</si>
  <si>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</si>
  <si>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</si>
  <si>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</si>
  <si>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</si>
  <si>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</si>
  <si>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</si>
  <si>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</si>
  <si>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</si>
  <si>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</si>
  <si>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</si>
  <si>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</si>
  <si>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</si>
  <si>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</si>
  <si>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</si>
  <si>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</si>
  <si>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</si>
  <si>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</si>
  <si>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</si>
  <si>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</si>
  <si>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</si>
  <si>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</si>
  <si>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</si>
  <si>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</si>
  <si>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</si>
  <si>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</si>
  <si>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</si>
  <si>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</si>
  <si>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</si>
  <si>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</si>
  <si>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</si>
  <si>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</si>
  <si>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</si>
  <si>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</si>
  <si>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</si>
  <si>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</si>
  <si>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</si>
  <si>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</si>
  <si>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</si>
  <si>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</si>
  <si>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</si>
  <si>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</si>
  <si>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</si>
  <si>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</si>
  <si>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</si>
  <si>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</si>
  <si>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</si>
  <si>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</si>
  <si>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</si>
  <si>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</si>
  <si>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</si>
  <si>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</si>
  <si>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</si>
  <si>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</si>
  <si>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</si>
  <si>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</si>
  <si>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</si>
  <si>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</si>
  <si>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</si>
  <si>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</si>
  <si>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</si>
  <si>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</si>
  <si>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</si>
  <si>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</si>
  <si>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</si>
  <si>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</si>
  <si>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</si>
  <si>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</si>
  <si>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</si>
  <si>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</si>
  <si>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</si>
  <si>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</si>
  <si>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</si>
  <si>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</si>
  <si>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</si>
  <si>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</si>
  <si>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</si>
  <si>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</si>
  <si>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</si>
  <si>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</si>
  <si>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</si>
  <si>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</si>
  <si>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</si>
  <si>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</si>
  <si>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</si>
  <si>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</si>
  <si>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</si>
  <si>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</si>
  <si>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</si>
  <si>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</si>
  <si>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</si>
  <si>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</si>
  <si>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</si>
  <si>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</si>
  <si>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</si>
  <si>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</si>
  <si>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</si>
  <si>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</si>
  <si>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</si>
  <si>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</si>
  <si>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</si>
  <si>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</si>
  <si>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</si>
  <si>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</si>
  <si>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</si>
  <si>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</si>
  <si>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</si>
  <si>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</si>
  <si>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</si>
  <si>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</si>
  <si>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</si>
  <si>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Day_name(order date)</t>
  </si>
  <si>
    <t>Saturday</t>
  </si>
  <si>
    <t>Wednesday</t>
  </si>
  <si>
    <t>Friday</t>
  </si>
  <si>
    <t>Sunday</t>
  </si>
  <si>
    <t>Monday</t>
  </si>
  <si>
    <t>Tuesday</t>
  </si>
  <si>
    <t>Thursday</t>
  </si>
  <si>
    <t>Sum of Revenue</t>
  </si>
  <si>
    <t>Average of Diff_order_delivery</t>
  </si>
  <si>
    <t>Count of Order_ID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</si>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</sst>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NumberFormat="1"/>
    <xf numFmtId="0" fontId="0" fillId="0" borderId="0" xfId="0" applyNumberFormat="1" applyAlignment="1">
      <alignment horizontal="center" vertical="center"/>
    </xf>
  </cellXfs>
  <cellStyles count="1">
    <cellStyle name="Normal" xfId="0" builtinId="0"/>
  </cellStyles>
  <dxfs count="84">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numFmt numFmtId="165" formatCode="&quot;₹&quot;\ #,##0.00"/>
    </dxf>
    <dxf>
      <numFmt numFmtId="165" formatCode="&quot;₹&quot;\ #,##0.00"/>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Slicer Style 1" pivot="0" table="0" count="0" xr9:uid="{7762BBA0-50AA-4053-B110-244ED3F6AB40}"/>
    <tableStyle name="Timeline Style 1" pivot="0" table="0" count="8" xr9:uid="{4B2402C1-D735-49B1-B9FA-26F31FABB609}">
      <tableStyleElement type="wholeTable" dxfId="83"/>
      <tableStyleElement type="headerRow" dxfId="8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[FNP EXCEL.xlsx]Pivot table!PivotTable12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table'!$I$8</c:f>
              <c:strCache>
                <c:ptCount val="1"/>
                <c:pt idx="0">
                  <c:v>Total</c:v>
                </c:pt>
              </c:strCache>
            </c:strRef>
          </c:tx>
          <c:spPr>
            <a:solidFill>
              <a:schemeClr val="accent1"/>
            </a:solidFill>
            <a:ln>
              <a:noFill/>
            </a:ln>
            <a:effectLst/>
            <a:sp3d/>
          </c:spPr>
          <c:invertIfNegative val="0"/>
          <c:cat>
            <c:strRef>
              <c:f>'Pivot table'!$H$9:$H$16</c:f>
              <c:strCache>
                <c:ptCount val="7"/>
                <c:pt idx="0">
                  <c:v>All Occasions</c:v>
                </c:pt>
                <c:pt idx="1">
                  <c:v>Anniversary</c:v>
                </c:pt>
                <c:pt idx="2">
                  <c:v>Birthday</c:v>
                </c:pt>
                <c:pt idx="3">
                  <c:v>Diwali</c:v>
                </c:pt>
                <c:pt idx="4">
                  <c:v>Holi</c:v>
                </c:pt>
                <c:pt idx="5">
                  <c:v>Raksha Bandhan</c:v>
                </c:pt>
                <c:pt idx="6">
                  <c:v>Valentine's Day</c:v>
                </c:pt>
              </c:strCache>
            </c:strRef>
          </c:cat>
          <c:val>
            <c:numRef>
              <c:f>'Pivot table'!$I$9:$I$16</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FE9-4EFD-8294-6BD08251781C}"/>
            </c:ext>
          </c:extLst>
        </c:ser>
        <c:dLbls>
          <c:showLegendKey val="0"/>
          <c:showVal val="0"/>
          <c:showCatName val="0"/>
          <c:showSerName val="0"/>
          <c:showPercent val="0"/>
          <c:showBubbleSize val="0"/>
        </c:dLbls>
        <c:gapWidth val="150"/>
        <c:shape val="box"/>
        <c:axId val="1941473664"/>
        <c:axId val="1941480384"/>
        <c:axId val="0"/>
      </c:bar3DChart>
      <c:catAx>
        <c:axId val="19414736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480384"/>
        <c:crosses val="autoZero"/>
        <c:auto val="1"/>
        <c:lblAlgn val="ctr"/>
        <c:lblOffset val="100"/>
        <c:noMultiLvlLbl val="0"/>
      </c:catAx>
      <c:valAx>
        <c:axId val="1941480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47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table'!$A$18:$A$25</c:f>
              <c:strCache>
                <c:ptCount val="7"/>
                <c:pt idx="0">
                  <c:v>Cake</c:v>
                </c:pt>
                <c:pt idx="1">
                  <c:v>Colors</c:v>
                </c:pt>
                <c:pt idx="2">
                  <c:v>Mugs</c:v>
                </c:pt>
                <c:pt idx="3">
                  <c:v>Plants</c:v>
                </c:pt>
                <c:pt idx="4">
                  <c:v>Raksha Bandhan</c:v>
                </c:pt>
                <c:pt idx="5">
                  <c:v>Soft Toys</c:v>
                </c:pt>
                <c:pt idx="6">
                  <c:v>Sweets</c:v>
                </c:pt>
              </c:strCache>
            </c:strRef>
          </c:cat>
          <c:val>
            <c:numRef>
              <c:f>'Pivot table'!$B$18:$B$25</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EF1-48DE-AEFB-19C702AC0E8B}"/>
            </c:ext>
          </c:extLst>
        </c:ser>
        <c:dLbls>
          <c:showLegendKey val="0"/>
          <c:showVal val="0"/>
          <c:showCatName val="0"/>
          <c:showSerName val="0"/>
          <c:showPercent val="0"/>
          <c:showBubbleSize val="0"/>
        </c:dLbls>
        <c:gapWidth val="150"/>
        <c:overlap val="100"/>
        <c:axId val="1999009744"/>
        <c:axId val="1999013584"/>
      </c:barChart>
      <c:catAx>
        <c:axId val="19990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13584"/>
        <c:crosses val="autoZero"/>
        <c:auto val="1"/>
        <c:lblAlgn val="ctr"/>
        <c:lblOffset val="100"/>
        <c:noMultiLvlLbl val="0"/>
      </c:catAx>
      <c:valAx>
        <c:axId val="199901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0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table'!$B$2:$B$14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7F3-499F-B0DE-9A181CE08440}"/>
            </c:ext>
          </c:extLst>
        </c:ser>
        <c:dLbls>
          <c:showLegendKey val="0"/>
          <c:showVal val="0"/>
          <c:showCatName val="0"/>
          <c:showSerName val="0"/>
          <c:showPercent val="0"/>
          <c:showBubbleSize val="0"/>
        </c:dLbls>
        <c:smooth val="0"/>
        <c:axId val="1936988384"/>
        <c:axId val="1937002784"/>
      </c:lineChart>
      <c:catAx>
        <c:axId val="193698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02784"/>
        <c:crosses val="autoZero"/>
        <c:auto val="1"/>
        <c:lblAlgn val="ctr"/>
        <c:lblOffset val="100"/>
        <c:noMultiLvlLbl val="0"/>
      </c:catAx>
      <c:valAx>
        <c:axId val="193700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98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c:f>
              <c:strCache>
                <c:ptCount val="1"/>
                <c:pt idx="0">
                  <c:v>Total</c:v>
                </c:pt>
              </c:strCache>
            </c:strRef>
          </c:tx>
          <c:spPr>
            <a:solidFill>
              <a:schemeClr val="accent1"/>
            </a:solidFill>
            <a:ln>
              <a:noFill/>
            </a:ln>
            <a:effectLst/>
          </c:spPr>
          <c:invertIfNegative val="0"/>
          <c:cat>
            <c:strRef>
              <c:f>'Pivot table'!$E$6:$E$11</c:f>
              <c:strCache>
                <c:ptCount val="5"/>
                <c:pt idx="0">
                  <c:v>Deserunt Box</c:v>
                </c:pt>
                <c:pt idx="1">
                  <c:v>Dolores Gift</c:v>
                </c:pt>
                <c:pt idx="2">
                  <c:v>Harum Pack</c:v>
                </c:pt>
                <c:pt idx="3">
                  <c:v>Magnam Set</c:v>
                </c:pt>
                <c:pt idx="4">
                  <c:v>Quia Gift</c:v>
                </c:pt>
              </c:strCache>
            </c:strRef>
          </c:cat>
          <c:val>
            <c:numRef>
              <c:f>'Pivot table'!$F$6:$F$11</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708-464B-AEC1-924851AF233A}"/>
            </c:ext>
          </c:extLst>
        </c:ser>
        <c:dLbls>
          <c:showLegendKey val="0"/>
          <c:showVal val="0"/>
          <c:showCatName val="0"/>
          <c:showSerName val="0"/>
          <c:showPercent val="0"/>
          <c:showBubbleSize val="0"/>
        </c:dLbls>
        <c:gapWidth val="219"/>
        <c:overlap val="-27"/>
        <c:axId val="1937015744"/>
        <c:axId val="1937017184"/>
      </c:barChart>
      <c:catAx>
        <c:axId val="193701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17184"/>
        <c:crosses val="autoZero"/>
        <c:auto val="1"/>
        <c:lblAlgn val="ctr"/>
        <c:lblOffset val="100"/>
        <c:noMultiLvlLbl val="0"/>
      </c:catAx>
      <c:valAx>
        <c:axId val="19370171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1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EXCEL.xlsx]Pivot 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col"/>
        <c:grouping val="stacked"/>
        <c:varyColors val="0"/>
        <c:ser>
          <c:idx val="0"/>
          <c:order val="0"/>
          <c:tx>
            <c:strRef>
              <c:f>'Pivot table'!$F$14</c:f>
              <c:strCache>
                <c:ptCount val="1"/>
                <c:pt idx="0">
                  <c:v>Total</c:v>
                </c:pt>
              </c:strCache>
            </c:strRef>
          </c:tx>
          <c:spPr>
            <a:solidFill>
              <a:schemeClr val="accent1"/>
            </a:solidFill>
            <a:ln>
              <a:noFill/>
            </a:ln>
            <a:effectLst/>
            <a:sp3d/>
          </c:spPr>
          <c:invertIfNegative val="0"/>
          <c:cat>
            <c:strRef>
              <c:f>'Pivot table'!$E$15:$E$25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7E3-48D3-9B85-0CB1104D3B08}"/>
            </c:ext>
          </c:extLst>
        </c:ser>
        <c:dLbls>
          <c:showLegendKey val="0"/>
          <c:showVal val="0"/>
          <c:showCatName val="0"/>
          <c:showSerName val="0"/>
          <c:showPercent val="0"/>
          <c:showBubbleSize val="0"/>
        </c:dLbls>
        <c:gapWidth val="150"/>
        <c:shape val="box"/>
        <c:axId val="2002317616"/>
        <c:axId val="2002317136"/>
        <c:axId val="0"/>
      </c:bar3DChart>
      <c:catAx>
        <c:axId val="200231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17136"/>
        <c:crosses val="autoZero"/>
        <c:auto val="1"/>
        <c:lblAlgn val="ctr"/>
        <c:lblOffset val="100"/>
        <c:noMultiLvlLbl val="0"/>
      </c:catAx>
      <c:valAx>
        <c:axId val="200231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1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EXCEL.xlsx]Pivot table!PivotTable14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28575" cap="rnd">
              <a:solidFill>
                <a:schemeClr val="accent1"/>
              </a:solidFill>
              <a:round/>
            </a:ln>
            <a:effectLst/>
          </c:spPr>
          <c:marker>
            <c:symbol val="none"/>
          </c:marker>
          <c:cat>
            <c:strRef>
              <c:f>'Pivot table'!$A$29:$A$53</c:f>
              <c:strCache>
                <c:ptCount val="24"/>
                <c:pt idx="0">
                  <c:v>8</c:v>
                </c:pt>
                <c:pt idx="1">
                  <c:v>1</c:v>
                </c:pt>
                <c:pt idx="2">
                  <c:v>6</c:v>
                </c:pt>
                <c:pt idx="3">
                  <c:v>15</c:v>
                </c:pt>
                <c:pt idx="4">
                  <c:v>14</c:v>
                </c:pt>
                <c:pt idx="5">
                  <c:v>2</c:v>
                </c:pt>
                <c:pt idx="6">
                  <c:v>5</c:v>
                </c:pt>
                <c:pt idx="7">
                  <c:v>4</c:v>
                </c:pt>
                <c:pt idx="8">
                  <c:v>10</c:v>
                </c:pt>
                <c:pt idx="9">
                  <c:v>20</c:v>
                </c:pt>
                <c:pt idx="10">
                  <c:v>22</c:v>
                </c:pt>
                <c:pt idx="11">
                  <c:v>3</c:v>
                </c:pt>
                <c:pt idx="12">
                  <c:v>16</c:v>
                </c:pt>
                <c:pt idx="13">
                  <c:v>13</c:v>
                </c:pt>
                <c:pt idx="14">
                  <c:v>19</c:v>
                </c:pt>
                <c:pt idx="15">
                  <c:v>23</c:v>
                </c:pt>
                <c:pt idx="16">
                  <c:v>11</c:v>
                </c:pt>
                <c:pt idx="17">
                  <c:v>7</c:v>
                </c:pt>
                <c:pt idx="18">
                  <c:v>0</c:v>
                </c:pt>
                <c:pt idx="19">
                  <c:v>12</c:v>
                </c:pt>
                <c:pt idx="20">
                  <c:v>17</c:v>
                </c:pt>
                <c:pt idx="21">
                  <c:v>9</c:v>
                </c:pt>
                <c:pt idx="22">
                  <c:v>18</c:v>
                </c:pt>
                <c:pt idx="23">
                  <c:v>21</c:v>
                </c:pt>
              </c:strCache>
            </c:strRef>
          </c:cat>
          <c:val>
            <c:numRef>
              <c:f>'Pivot table'!$B$29:$B$53</c:f>
              <c:numCache>
                <c:formatCode>General</c:formatCode>
                <c:ptCount val="24"/>
                <c:pt idx="0">
                  <c:v>225859</c:v>
                </c:pt>
                <c:pt idx="1">
                  <c:v>201734</c:v>
                </c:pt>
                <c:pt idx="2">
                  <c:v>187096</c:v>
                </c:pt>
                <c:pt idx="3">
                  <c:v>167033</c:v>
                </c:pt>
                <c:pt idx="4">
                  <c:v>161658</c:v>
                </c:pt>
                <c:pt idx="5">
                  <c:v>161010</c:v>
                </c:pt>
                <c:pt idx="6">
                  <c:v>156305</c:v>
                </c:pt>
                <c:pt idx="7">
                  <c:v>154015</c:v>
                </c:pt>
                <c:pt idx="8">
                  <c:v>152044</c:v>
                </c:pt>
                <c:pt idx="9">
                  <c:v>151116</c:v>
                </c:pt>
                <c:pt idx="10">
                  <c:v>149827</c:v>
                </c:pt>
                <c:pt idx="11">
                  <c:v>147631</c:v>
                </c:pt>
                <c:pt idx="12">
                  <c:v>147207</c:v>
                </c:pt>
                <c:pt idx="13">
                  <c:v>141402</c:v>
                </c:pt>
                <c:pt idx="14">
                  <c:v>140499</c:v>
                </c:pt>
                <c:pt idx="15">
                  <c:v>140001</c:v>
                </c:pt>
                <c:pt idx="16">
                  <c:v>131134</c:v>
                </c:pt>
                <c:pt idx="17">
                  <c:v>128144</c:v>
                </c:pt>
                <c:pt idx="18">
                  <c:v>119025</c:v>
                </c:pt>
                <c:pt idx="19">
                  <c:v>117519</c:v>
                </c:pt>
                <c:pt idx="20">
                  <c:v>116344</c:v>
                </c:pt>
                <c:pt idx="21">
                  <c:v>115796</c:v>
                </c:pt>
                <c:pt idx="22">
                  <c:v>108315</c:v>
                </c:pt>
                <c:pt idx="23">
                  <c:v>100270</c:v>
                </c:pt>
              </c:numCache>
            </c:numRef>
          </c:val>
          <c:smooth val="0"/>
          <c:extLst>
            <c:ext xmlns:c16="http://schemas.microsoft.com/office/drawing/2014/chart" uri="{C3380CC4-5D6E-409C-BE32-E72D297353CC}">
              <c16:uniqueId val="{00000000-A48C-47AD-ADCE-0892D4680152}"/>
            </c:ext>
          </c:extLst>
        </c:ser>
        <c:dLbls>
          <c:showLegendKey val="0"/>
          <c:showVal val="0"/>
          <c:showCatName val="0"/>
          <c:showSerName val="0"/>
          <c:showPercent val="0"/>
          <c:showBubbleSize val="0"/>
        </c:dLbls>
        <c:smooth val="0"/>
        <c:axId val="517001968"/>
        <c:axId val="516997648"/>
      </c:lineChart>
      <c:catAx>
        <c:axId val="51700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997648"/>
        <c:crosses val="autoZero"/>
        <c:auto val="1"/>
        <c:lblAlgn val="ctr"/>
        <c:lblOffset val="100"/>
        <c:noMultiLvlLbl val="0"/>
      </c:catAx>
      <c:valAx>
        <c:axId val="51699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0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517071</xdr:colOff>
      <xdr:row>0</xdr:row>
      <xdr:rowOff>57569</xdr:rowOff>
    </xdr:from>
    <xdr:to>
      <xdr:col>26</xdr:col>
      <xdr:colOff>204107</xdr:colOff>
      <xdr:row>42</xdr:row>
      <xdr:rowOff>102578</xdr:rowOff>
    </xdr:to>
    <xdr:sp macro="" textlink="">
      <xdr:nvSpPr>
        <xdr:cNvPr id="29" name="Rectangle: Rounded Corners 28">
          <a:extLst>
            <a:ext uri="{FF2B5EF4-FFF2-40B4-BE49-F238E27FC236}">
              <a16:creationId xmlns:a16="http://schemas.microsoft.com/office/drawing/2014/main" id="{4E80C742-6881-C16A-C7DE-17B216F6ADCE}"/>
            </a:ext>
          </a:extLst>
        </xdr:cNvPr>
        <xdr:cNvSpPr/>
      </xdr:nvSpPr>
      <xdr:spPr>
        <a:xfrm>
          <a:off x="517071" y="57569"/>
          <a:ext cx="15689036" cy="7430547"/>
        </a:xfrm>
        <a:prstGeom prst="roundRect">
          <a:avLst>
            <a:gd name="adj" fmla="val 5290"/>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244929</xdr:colOff>
      <xdr:row>1</xdr:row>
      <xdr:rowOff>81643</xdr:rowOff>
    </xdr:from>
    <xdr:to>
      <xdr:col>6</xdr:col>
      <xdr:colOff>176892</xdr:colOff>
      <xdr:row>41</xdr:row>
      <xdr:rowOff>16329</xdr:rowOff>
    </xdr:to>
    <xdr:sp macro="" textlink="">
      <xdr:nvSpPr>
        <xdr:cNvPr id="25" name="Rectangle: Rounded Corners 24">
          <a:extLst>
            <a:ext uri="{FF2B5EF4-FFF2-40B4-BE49-F238E27FC236}">
              <a16:creationId xmlns:a16="http://schemas.microsoft.com/office/drawing/2014/main" id="{C67AD32E-34CB-4CAF-A300-FB3B968441EC}"/>
            </a:ext>
          </a:extLst>
        </xdr:cNvPr>
        <xdr:cNvSpPr/>
      </xdr:nvSpPr>
      <xdr:spPr>
        <a:xfrm>
          <a:off x="857250" y="258536"/>
          <a:ext cx="2993571" cy="7010400"/>
        </a:xfrm>
        <a:prstGeom prst="roundRect">
          <a:avLst>
            <a:gd name="adj" fmla="val 6533"/>
          </a:avLst>
        </a:prstGeom>
        <a:solidFill>
          <a:schemeClr val="accent1">
            <a:alpha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435429</xdr:colOff>
      <xdr:row>26</xdr:row>
      <xdr:rowOff>95251</xdr:rowOff>
    </xdr:from>
    <xdr:to>
      <xdr:col>25</xdr:col>
      <xdr:colOff>544285</xdr:colOff>
      <xdr:row>41</xdr:row>
      <xdr:rowOff>16330</xdr:rowOff>
    </xdr:to>
    <xdr:sp macro="" textlink="">
      <xdr:nvSpPr>
        <xdr:cNvPr id="24" name="Rectangle: Rounded Corners 23">
          <a:extLst>
            <a:ext uri="{FF2B5EF4-FFF2-40B4-BE49-F238E27FC236}">
              <a16:creationId xmlns:a16="http://schemas.microsoft.com/office/drawing/2014/main" id="{95F2E32E-5557-7671-C5D7-945A95461F04}"/>
            </a:ext>
          </a:extLst>
        </xdr:cNvPr>
        <xdr:cNvSpPr/>
      </xdr:nvSpPr>
      <xdr:spPr>
        <a:xfrm>
          <a:off x="7783286" y="4694465"/>
          <a:ext cx="8069035" cy="2574472"/>
        </a:xfrm>
        <a:prstGeom prst="roundRect">
          <a:avLst>
            <a:gd name="adj" fmla="val 8274"/>
          </a:avLst>
        </a:prstGeom>
        <a:solidFill>
          <a:schemeClr val="accent1">
            <a:alpha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312962</xdr:colOff>
      <xdr:row>12</xdr:row>
      <xdr:rowOff>108855</xdr:rowOff>
    </xdr:from>
    <xdr:to>
      <xdr:col>12</xdr:col>
      <xdr:colOff>380999</xdr:colOff>
      <xdr:row>25</xdr:row>
      <xdr:rowOff>133436</xdr:rowOff>
    </xdr:to>
    <xdr:graphicFrame macro="">
      <xdr:nvGraphicFramePr>
        <xdr:cNvPr id="2" name="Chart 1">
          <a:extLst>
            <a:ext uri="{FF2B5EF4-FFF2-40B4-BE49-F238E27FC236}">
              <a16:creationId xmlns:a16="http://schemas.microsoft.com/office/drawing/2014/main" id="{B0A77E73-2BAE-4C7E-B172-8C58CC3FF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536372</xdr:colOff>
      <xdr:row>12</xdr:row>
      <xdr:rowOff>136069</xdr:rowOff>
    </xdr:from>
    <xdr:to>
      <xdr:col>19</xdr:col>
      <xdr:colOff>95250</xdr:colOff>
      <xdr:row>25</xdr:row>
      <xdr:rowOff>160650</xdr:rowOff>
    </xdr:to>
    <xdr:graphicFrame macro="">
      <xdr:nvGraphicFramePr>
        <xdr:cNvPr id="3" name="Chart 2">
          <a:extLst>
            <a:ext uri="{FF2B5EF4-FFF2-40B4-BE49-F238E27FC236}">
              <a16:creationId xmlns:a16="http://schemas.microsoft.com/office/drawing/2014/main" id="{452239E1-4785-4E14-A691-96A8EA7C7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285750</xdr:colOff>
      <xdr:row>26</xdr:row>
      <xdr:rowOff>100485</xdr:rowOff>
    </xdr:from>
    <xdr:to>
      <xdr:col>12</xdr:col>
      <xdr:colOff>340336</xdr:colOff>
      <xdr:row>40</xdr:row>
      <xdr:rowOff>62280</xdr:rowOff>
    </xdr:to>
    <xdr:graphicFrame macro="">
      <xdr:nvGraphicFramePr>
        <xdr:cNvPr id="4" name="Chart 3">
          <a:extLst>
            <a:ext uri="{FF2B5EF4-FFF2-40B4-BE49-F238E27FC236}">
              <a16:creationId xmlns:a16="http://schemas.microsoft.com/office/drawing/2014/main" id="{0166E1CC-D4F7-4DD9-AE72-1BA007099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598512</xdr:colOff>
      <xdr:row>27</xdr:row>
      <xdr:rowOff>149677</xdr:rowOff>
    </xdr:from>
    <xdr:to>
      <xdr:col>25</xdr:col>
      <xdr:colOff>387252</xdr:colOff>
      <xdr:row>39</xdr:row>
      <xdr:rowOff>126319</xdr:rowOff>
    </xdr:to>
    <xdr:grpSp>
      <xdr:nvGrpSpPr>
        <xdr:cNvPr id="28" name="Group 27">
          <a:extLst>
            <a:ext uri="{FF2B5EF4-FFF2-40B4-BE49-F238E27FC236}">
              <a16:creationId xmlns:a16="http://schemas.microsoft.com/office/drawing/2014/main" id="{B046A01D-2325-86C6-93CA-5C5C58F6CEFE}"/>
            </a:ext>
          </a:extLst>
        </xdr:cNvPr>
        <xdr:cNvGrpSpPr/>
      </xdr:nvGrpSpPr>
      <xdr:grpSpPr>
        <a:xfrm>
          <a:off x="7885137" y="4971708"/>
          <a:ext cx="7682584" cy="2119767"/>
          <a:chOff x="7946369" y="4725432"/>
          <a:chExt cx="7748919" cy="2302143"/>
        </a:xfrm>
      </xdr:grpSpPr>
      <xdr:graphicFrame macro="">
        <xdr:nvGraphicFramePr>
          <xdr:cNvPr id="5" name="Chart 4">
            <a:extLst>
              <a:ext uri="{FF2B5EF4-FFF2-40B4-BE49-F238E27FC236}">
                <a16:creationId xmlns:a16="http://schemas.microsoft.com/office/drawing/2014/main" id="{156FA831-1B94-47D4-8ACC-FCD5E32AD799}"/>
              </a:ext>
            </a:extLst>
          </xdr:cNvPr>
          <xdr:cNvGraphicFramePr>
            <a:graphicFrameLocks/>
          </xdr:cNvGraphicFramePr>
        </xdr:nvGraphicFramePr>
        <xdr:xfrm>
          <a:off x="7946369" y="4725432"/>
          <a:ext cx="3804863" cy="228721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97994380-6230-47B4-A495-62E2E479EE0B}"/>
              </a:ext>
            </a:extLst>
          </xdr:cNvPr>
          <xdr:cNvGraphicFramePr>
            <a:graphicFrameLocks/>
          </xdr:cNvGraphicFramePr>
        </xdr:nvGraphicFramePr>
        <xdr:xfrm>
          <a:off x="11890424" y="4740355"/>
          <a:ext cx="3804864" cy="228722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19</xdr:col>
      <xdr:colOff>204107</xdr:colOff>
      <xdr:row>12</xdr:row>
      <xdr:rowOff>136069</xdr:rowOff>
    </xdr:from>
    <xdr:to>
      <xdr:col>25</xdr:col>
      <xdr:colOff>571499</xdr:colOff>
      <xdr:row>25</xdr:row>
      <xdr:rowOff>135588</xdr:rowOff>
    </xdr:to>
    <xdr:graphicFrame macro="">
      <xdr:nvGraphicFramePr>
        <xdr:cNvPr id="7" name="Chart 6">
          <a:extLst>
            <a:ext uri="{FF2B5EF4-FFF2-40B4-BE49-F238E27FC236}">
              <a16:creationId xmlns:a16="http://schemas.microsoft.com/office/drawing/2014/main" id="{C0757387-51C2-49A0-BAE5-694FABCF3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272124</xdr:colOff>
      <xdr:row>8</xdr:row>
      <xdr:rowOff>13612</xdr:rowOff>
    </xdr:from>
    <xdr:to>
      <xdr:col>13</xdr:col>
      <xdr:colOff>600073</xdr:colOff>
      <xdr:row>12</xdr:row>
      <xdr:rowOff>4</xdr:rowOff>
    </xdr:to>
    <xdr:sp macro="" textlink="'Pivot table'!F2">
      <xdr:nvSpPr>
        <xdr:cNvPr id="8" name="Rectangle: Rounded Corners 7">
          <a:extLst>
            <a:ext uri="{FF2B5EF4-FFF2-40B4-BE49-F238E27FC236}">
              <a16:creationId xmlns:a16="http://schemas.microsoft.com/office/drawing/2014/main" id="{465C7FF7-C4EB-D665-5596-30A7B93D9E3D}"/>
            </a:ext>
          </a:extLst>
        </xdr:cNvPr>
        <xdr:cNvSpPr/>
      </xdr:nvSpPr>
      <xdr:spPr>
        <a:xfrm>
          <a:off x="6395338" y="1251862"/>
          <a:ext cx="2164914" cy="6939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475B3F-69A0-4E9F-9D6A-B417B22A561A}" type="TxLink">
            <a:rPr lang="en-US" sz="1400" b="0" i="0" u="none" strike="noStrike">
              <a:solidFill>
                <a:schemeClr val="bg1"/>
              </a:solidFill>
              <a:latin typeface="Aptos Narrow"/>
            </a:rPr>
            <a:pPr algn="ctr"/>
            <a:t>₹ 35,20,984.00</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 Sales</a:t>
          </a:r>
          <a:endParaRPr lang="en-IN" sz="1400">
            <a:solidFill>
              <a:schemeClr val="bg1"/>
            </a:solidFill>
          </a:endParaRPr>
        </a:p>
      </xdr:txBody>
    </xdr:sp>
    <xdr:clientData/>
  </xdr:twoCellAnchor>
  <xdr:twoCellAnchor>
    <xdr:from>
      <xdr:col>14</xdr:col>
      <xdr:colOff>197738</xdr:colOff>
      <xdr:row>8</xdr:row>
      <xdr:rowOff>13612</xdr:rowOff>
    </xdr:from>
    <xdr:to>
      <xdr:col>17</xdr:col>
      <xdr:colOff>525688</xdr:colOff>
      <xdr:row>12</xdr:row>
      <xdr:rowOff>4</xdr:rowOff>
    </xdr:to>
    <xdr:sp macro="" textlink="'Pivot table'!E2">
      <xdr:nvSpPr>
        <xdr:cNvPr id="17" name="Rectangle: Rounded Corners 16">
          <a:extLst>
            <a:ext uri="{FF2B5EF4-FFF2-40B4-BE49-F238E27FC236}">
              <a16:creationId xmlns:a16="http://schemas.microsoft.com/office/drawing/2014/main" id="{A8A47F6A-F3C5-4AAC-AFAD-5821B54F92A5}"/>
            </a:ext>
          </a:extLst>
        </xdr:cNvPr>
        <xdr:cNvSpPr/>
      </xdr:nvSpPr>
      <xdr:spPr>
        <a:xfrm>
          <a:off x="8770238" y="1251862"/>
          <a:ext cx="2164914" cy="6939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C642-5258-4DFA-A42F-6E36945CED91}" type="TxLink">
            <a:rPr lang="en-US" sz="1400" b="0" i="0" u="none" strike="noStrike">
              <a:solidFill>
                <a:schemeClr val="bg1"/>
              </a:solidFill>
              <a:latin typeface="Aptos Narrow"/>
            </a:rPr>
            <a:pPr algn="ctr"/>
            <a:t>1000</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Count</a:t>
          </a:r>
          <a:r>
            <a:rPr lang="en-US" sz="1400" b="0" i="0" u="none" strike="noStrike" baseline="0">
              <a:solidFill>
                <a:schemeClr val="bg1"/>
              </a:solidFill>
              <a:latin typeface="Aptos Narrow"/>
            </a:rPr>
            <a:t> of Orders</a:t>
          </a:r>
          <a:endParaRPr lang="en-IN" sz="1400">
            <a:solidFill>
              <a:schemeClr val="bg1"/>
            </a:solidFill>
          </a:endParaRPr>
        </a:p>
      </xdr:txBody>
    </xdr:sp>
    <xdr:clientData/>
  </xdr:twoCellAnchor>
  <xdr:twoCellAnchor>
    <xdr:from>
      <xdr:col>18</xdr:col>
      <xdr:colOff>123352</xdr:colOff>
      <xdr:row>8</xdr:row>
      <xdr:rowOff>13612</xdr:rowOff>
    </xdr:from>
    <xdr:to>
      <xdr:col>21</xdr:col>
      <xdr:colOff>451302</xdr:colOff>
      <xdr:row>12</xdr:row>
      <xdr:rowOff>4</xdr:rowOff>
    </xdr:to>
    <xdr:sp macro="" textlink="'Pivot table'!G2">
      <xdr:nvSpPr>
        <xdr:cNvPr id="18" name="Rectangle: Rounded Corners 17">
          <a:extLst>
            <a:ext uri="{FF2B5EF4-FFF2-40B4-BE49-F238E27FC236}">
              <a16:creationId xmlns:a16="http://schemas.microsoft.com/office/drawing/2014/main" id="{5993EA9E-25BF-4F3B-940D-021AE8C9F4DD}"/>
            </a:ext>
          </a:extLst>
        </xdr:cNvPr>
        <xdr:cNvSpPr/>
      </xdr:nvSpPr>
      <xdr:spPr>
        <a:xfrm>
          <a:off x="11145138" y="1251862"/>
          <a:ext cx="2164914" cy="6939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86F2B2-E73E-40FA-AF6A-6F69B626AA52}" type="TxLink">
            <a:rPr lang="en-US" sz="1400" b="0" i="0" u="none" strike="noStrike">
              <a:solidFill>
                <a:schemeClr val="bg1"/>
              </a:solidFill>
              <a:latin typeface="Aptos Narrow"/>
            </a:rPr>
            <a:pPr algn="ctr"/>
            <a:t>5.53</a:t>
          </a:fld>
          <a:endParaRPr lang="en-US" sz="1400" b="0" i="0" u="none" strike="noStrike">
            <a:solidFill>
              <a:schemeClr val="bg1"/>
            </a:solidFill>
            <a:latin typeface="Aptos Narrow"/>
          </a:endParaRPr>
        </a:p>
        <a:p>
          <a:pPr algn="ctr"/>
          <a:r>
            <a:rPr lang="en-IN" sz="1100" b="1" i="0" u="none" strike="noStrike">
              <a:solidFill>
                <a:schemeClr val="bg1"/>
              </a:solidFill>
              <a:effectLst/>
              <a:latin typeface="+mn-lt"/>
              <a:ea typeface="+mn-ea"/>
              <a:cs typeface="+mn-cs"/>
            </a:rPr>
            <a:t>Average of Diff_order_delivery</a:t>
          </a:r>
          <a:r>
            <a:rPr lang="en-IN" sz="1400">
              <a:solidFill>
                <a:schemeClr val="bg1"/>
              </a:solidFill>
              <a:effectLst/>
            </a:rPr>
            <a:t> </a:t>
          </a:r>
          <a:endParaRPr lang="en-IN" sz="1400">
            <a:solidFill>
              <a:schemeClr val="bg1"/>
            </a:solidFill>
          </a:endParaRPr>
        </a:p>
      </xdr:txBody>
    </xdr:sp>
    <xdr:clientData/>
  </xdr:twoCellAnchor>
  <xdr:twoCellAnchor>
    <xdr:from>
      <xdr:col>22</xdr:col>
      <xdr:colOff>35360</xdr:colOff>
      <xdr:row>8</xdr:row>
      <xdr:rowOff>5</xdr:rowOff>
    </xdr:from>
    <xdr:to>
      <xdr:col>25</xdr:col>
      <xdr:colOff>363309</xdr:colOff>
      <xdr:row>11</xdr:row>
      <xdr:rowOff>163289</xdr:rowOff>
    </xdr:to>
    <xdr:sp macro="" textlink="'Pivot table'!H2">
      <xdr:nvSpPr>
        <xdr:cNvPr id="19" name="Rectangle: Rounded Corners 18">
          <a:extLst>
            <a:ext uri="{FF2B5EF4-FFF2-40B4-BE49-F238E27FC236}">
              <a16:creationId xmlns:a16="http://schemas.microsoft.com/office/drawing/2014/main" id="{A6592BF3-D7E9-4CA7-8874-CC2276AFA41C}"/>
            </a:ext>
          </a:extLst>
        </xdr:cNvPr>
        <xdr:cNvSpPr/>
      </xdr:nvSpPr>
      <xdr:spPr>
        <a:xfrm>
          <a:off x="13506431" y="1238255"/>
          <a:ext cx="2164914" cy="6939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1840B2-F4A9-4ABD-B09C-86C3C1DE8263}" type="TxLink">
            <a:rPr lang="en-US" sz="1400" b="0" i="0" u="none" strike="noStrike">
              <a:solidFill>
                <a:schemeClr val="bg1"/>
              </a:solidFill>
              <a:latin typeface="Aptos Narrow"/>
            </a:rPr>
            <a:pPr algn="ctr"/>
            <a:t>₹ 3,520.98</a:t>
          </a:fld>
          <a:endParaRPr lang="en-US" sz="1400" b="0" i="0" u="none" strike="noStrike">
            <a:solidFill>
              <a:schemeClr val="bg1"/>
            </a:solidFill>
            <a:latin typeface="Aptos Narrow"/>
          </a:endParaRPr>
        </a:p>
        <a:p>
          <a:pPr algn="ctr"/>
          <a:r>
            <a:rPr lang="en-IN" sz="1100" b="1" i="0" u="none" strike="noStrike">
              <a:solidFill>
                <a:schemeClr val="lt1"/>
              </a:solidFill>
              <a:effectLst/>
              <a:latin typeface="+mn-lt"/>
              <a:ea typeface="+mn-ea"/>
              <a:cs typeface="+mn-cs"/>
            </a:rPr>
            <a:t>Average of Customer Spending</a:t>
          </a:r>
          <a:r>
            <a:rPr lang="en-IN" sz="1100">
              <a:effectLst/>
            </a:rPr>
            <a:t> </a:t>
          </a:r>
          <a:endParaRPr lang="en-IN" sz="1100">
            <a:solidFill>
              <a:schemeClr val="bg1"/>
            </a:solidFill>
          </a:endParaRPr>
        </a:p>
      </xdr:txBody>
    </xdr:sp>
    <xdr:clientData/>
  </xdr:twoCellAnchor>
  <xdr:twoCellAnchor editAs="oneCell">
    <xdr:from>
      <xdr:col>1</xdr:col>
      <xdr:colOff>394608</xdr:colOff>
      <xdr:row>23</xdr:row>
      <xdr:rowOff>108857</xdr:rowOff>
    </xdr:from>
    <xdr:to>
      <xdr:col>5</xdr:col>
      <xdr:colOff>609322</xdr:colOff>
      <xdr:row>39</xdr:row>
      <xdr:rowOff>163285</xdr:rowOff>
    </xdr:to>
    <mc:AlternateContent xmlns:mc="http://schemas.openxmlformats.org/markup-compatibility/2006" xmlns:a14="http://schemas.microsoft.com/office/drawing/2010/main">
      <mc:Choice Requires="a14">
        <xdr:graphicFrame macro="">
          <xdr:nvGraphicFramePr>
            <xdr:cNvPr id="20" name="Occasion">
              <a:extLst>
                <a:ext uri="{FF2B5EF4-FFF2-40B4-BE49-F238E27FC236}">
                  <a16:creationId xmlns:a16="http://schemas.microsoft.com/office/drawing/2014/main" id="{92E41560-80E3-41D7-B6DE-75C46A0DF9F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99370" y="4281714"/>
              <a:ext cx="2633762" cy="2957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394609</xdr:colOff>
      <xdr:row>3</xdr:row>
      <xdr:rowOff>54435</xdr:rowOff>
    </xdr:from>
    <xdr:to>
      <xdr:col>5</xdr:col>
      <xdr:colOff>609323</xdr:colOff>
      <xdr:row>12</xdr:row>
      <xdr:rowOff>81644</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1066FD86-2C24-AD8E-F2B5-9ACFAF95682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99371" y="598721"/>
              <a:ext cx="2633762" cy="16600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408215</xdr:colOff>
      <xdr:row>13</xdr:row>
      <xdr:rowOff>108862</xdr:rowOff>
    </xdr:from>
    <xdr:to>
      <xdr:col>6</xdr:col>
      <xdr:colOff>10607</xdr:colOff>
      <xdr:row>22</xdr:row>
      <xdr:rowOff>47396</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C036858A-5502-BC91-4A28-36D91DB75E1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12977" y="2467433"/>
              <a:ext cx="2626201" cy="15713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517071</xdr:colOff>
      <xdr:row>2</xdr:row>
      <xdr:rowOff>149678</xdr:rowOff>
    </xdr:from>
    <xdr:to>
      <xdr:col>25</xdr:col>
      <xdr:colOff>544285</xdr:colOff>
      <xdr:row>7</xdr:row>
      <xdr:rowOff>13607</xdr:rowOff>
    </xdr:to>
    <xdr:sp macro="" textlink="">
      <xdr:nvSpPr>
        <xdr:cNvPr id="23" name="TextBox 22">
          <a:extLst>
            <a:ext uri="{FF2B5EF4-FFF2-40B4-BE49-F238E27FC236}">
              <a16:creationId xmlns:a16="http://schemas.microsoft.com/office/drawing/2014/main" id="{EA036B35-0377-AABB-71E3-5E2B9DD15139}"/>
            </a:ext>
          </a:extLst>
        </xdr:cNvPr>
        <xdr:cNvSpPr txBox="1"/>
      </xdr:nvSpPr>
      <xdr:spPr>
        <a:xfrm>
          <a:off x="4191000" y="326571"/>
          <a:ext cx="11661321" cy="748393"/>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4400" b="0" cap="none" spc="0">
              <a:ln w="0"/>
              <a:solidFill>
                <a:schemeClr val="accent1"/>
              </a:solidFill>
              <a:effectLst>
                <a:outerShdw blurRad="38100" dist="25400" dir="5400000" algn="ctr" rotWithShape="0">
                  <a:srgbClr val="6E747A">
                    <a:alpha val="43000"/>
                  </a:srgbClr>
                </a:outerShdw>
              </a:effectLst>
              <a:latin typeface="Copperplate Gothic Bold" panose="020E0705020206020404" pitchFamily="34" charset="0"/>
            </a:rPr>
            <a:t>Flower</a:t>
          </a:r>
          <a:r>
            <a:rPr lang="en-IN" sz="4400" b="0" cap="none" spc="0" baseline="0">
              <a:ln w="0"/>
              <a:solidFill>
                <a:schemeClr val="accent1"/>
              </a:solidFill>
              <a:effectLst>
                <a:outerShdw blurRad="38100" dist="25400" dir="5400000" algn="ctr" rotWithShape="0">
                  <a:srgbClr val="6E747A">
                    <a:alpha val="43000"/>
                  </a:srgbClr>
                </a:outerShdw>
              </a:effectLst>
              <a:latin typeface="Copperplate Gothic Bold" panose="020E0705020206020404" pitchFamily="34" charset="0"/>
            </a:rPr>
            <a:t>s and petals sales analysis</a:t>
          </a:r>
          <a:endParaRPr lang="en-IN" sz="4400" b="0" cap="none" spc="0">
            <a:ln w="0"/>
            <a:solidFill>
              <a:schemeClr val="accent1"/>
            </a:solidFill>
            <a:effectLst>
              <a:outerShdw blurRad="38100" dist="25400" dir="5400000" algn="ctr" rotWithShape="0">
                <a:srgbClr val="6E747A">
                  <a:alpha val="43000"/>
                </a:srgbClr>
              </a:outerShdw>
            </a:effectLst>
            <a:latin typeface="Copperplate Gothic Bold" panose="020E07050202060204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578237384259" backgroundQuery="1" createdVersion="8" refreshedVersion="8" minRefreshableVersion="3" recordCount="0" supportSubquery="1" supportAdvancedDrill="1" xr:uid="{0FC33EFC-DE3C-45BE-AF67-E4868904CC44}">
  <cacheSource type="external" connectionId="7"/>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6"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578238078706" backgroundQuery="1" createdVersion="8" refreshedVersion="8" minRefreshableVersion="3" recordCount="0" supportSubquery="1" supportAdvancedDrill="1" xr:uid="{FC06DB93-EE43-466D-9232-0CA5062F8226}">
  <cacheSource type="external" connectionId="7"/>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ilivery time)]" caption="Hour (Dilivery time)" attribute="1" defaultMemberUniqueName="[Orders].[Hour (Dilivery time)].[All]" allUniqueName="[Orders].[Hour (Di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 date)]" caption="Day_name(order date)" attribute="1" defaultMemberUniqueName="[Orders].[Day_name(order date)].[All]" allUniqueName="[Orders].[Day_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578238657406" backgroundQuery="1" createdVersion="8" refreshedVersion="8" minRefreshableVersion="3" recordCount="0" supportSubquery="1" supportAdvancedDrill="1" xr:uid="{0D6CE5DC-167E-4C70-A356-4633E96E9E52}">
  <cacheSource type="external" connectionId="7"/>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578239351853" backgroundQuery="1" createdVersion="8" refreshedVersion="8" minRefreshableVersion="3" recordCount="0" supportSubquery="1" supportAdvancedDrill="1" xr:uid="{69CEF33D-14E1-44F9-B64F-C726AB75B733}">
  <cacheSource type="external" connectionId="7"/>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578239930554" backgroundQuery="1" createdVersion="8" refreshedVersion="8" minRefreshableVersion="3" recordCount="0" supportSubquery="1" supportAdvancedDrill="1" xr:uid="{25F16B0C-CEF0-4AA3-8D4D-3292EAFF942F}">
  <cacheSource type="external" connectionId="7"/>
  <cacheFields count="5">
    <cacheField name="[Measures].[Sum of Revenue]" caption="Sum of Revenue" numFmtId="0" hierarchy="36" level="32767"/>
    <cacheField name="[Measures].[Average of Diff_order_delivery]" caption="Average of Diff_order_delivery" numFmtId="0" hierarchy="38" level="32767"/>
    <cacheField name="[Measures].[Average of Revenue]" caption="Average of Revenue" numFmtId="0" hierarchy="39" level="32767"/>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578240509261" backgroundQuery="1" createdVersion="8" refreshedVersion="8" minRefreshableVersion="3" recordCount="0" supportSubquery="1" supportAdvancedDrill="1" xr:uid="{A6791F3E-E2BC-4521-9028-F54AD3E2D459}">
  <cacheSource type="external" connectionId="7"/>
  <cacheFields count="3">
    <cacheField name="[Measures].[Sum of Revenue]" caption="Sum of Revenue" numFmtId="0" hierarchy="36" level="32767"/>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578241203701" backgroundQuery="1" createdVersion="8" refreshedVersion="8" minRefreshableVersion="3" recordCount="0" supportSubquery="1" supportAdvancedDrill="1" xr:uid="{575E33D6-5329-4A96-A51A-007058B1C500}">
  <cacheSource type="external" connectionId="7"/>
  <cacheFields count="5">
    <cacheField name="[Measures].[Sum of Revenue]" caption="Sum of Revenue" numFmtId="0" hierarchy="36" level="32767"/>
    <cacheField name="[Products].[Product_Name].[Product_Name]" caption="Product_Name" numFmtId="0" hierarchy="25" level="1">
      <sharedItems count="5">
        <s v="Deserunt Box"/>
        <s v="Dolores Gift"/>
        <s v="Harum Pack"/>
        <s v="Magnam Set"/>
        <s v="Quia Gift"/>
      </sharedItems>
    </cacheField>
    <cacheField name="[Orders].[Day_name(order date)].[Day_name(order date)]" caption="Day_name(order date)" numFmtId="0" hierarchy="23" level="1">
      <sharedItems count="7">
        <s v="Friday"/>
        <s v="Monday"/>
        <s v="Saturday"/>
        <s v="Sunday"/>
        <s v="Thursday"/>
        <s v="Tuesday"/>
        <s v="Wednesday"/>
      </sharedItems>
    </cacheField>
    <cacheField name="[Orders].[Hour (Dilivery time)].[Hour (Dilivery time)]" caption="Hour (Dilivery 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ilivery time)].&amp;[0]"/>
            <x15:cachedUniqueName index="1" name="[Orders].[Hour (Dilivery time)].&amp;[1]"/>
            <x15:cachedUniqueName index="2" name="[Orders].[Hour (Dilivery time)].&amp;[2]"/>
            <x15:cachedUniqueName index="3" name="[Orders].[Hour (Dilivery time)].&amp;[3]"/>
            <x15:cachedUniqueName index="4" name="[Orders].[Hour (Dilivery time)].&amp;[4]"/>
            <x15:cachedUniqueName index="5" name="[Orders].[Hour (Dilivery time)].&amp;[5]"/>
            <x15:cachedUniqueName index="6" name="[Orders].[Hour (Dilivery time)].&amp;[6]"/>
            <x15:cachedUniqueName index="7" name="[Orders].[Hour (Dilivery time)].&amp;[7]"/>
            <x15:cachedUniqueName index="8" name="[Orders].[Hour (Dilivery time)].&amp;[8]"/>
            <x15:cachedUniqueName index="9" name="[Orders].[Hour (Dilivery time)].&amp;[9]"/>
            <x15:cachedUniqueName index="10" name="[Orders].[Hour (Dilivery time)].&amp;[10]"/>
            <x15:cachedUniqueName index="11" name="[Orders].[Hour (Dilivery time)].&amp;[11]"/>
            <x15:cachedUniqueName index="12" name="[Orders].[Hour (Dilivery time)].&amp;[12]"/>
            <x15:cachedUniqueName index="13" name="[Orders].[Hour (Dilivery time)].&amp;[13]"/>
            <x15:cachedUniqueName index="14" name="[Orders].[Hour (Dilivery time)].&amp;[14]"/>
            <x15:cachedUniqueName index="15" name="[Orders].[Hour (Dilivery time)].&amp;[15]"/>
            <x15:cachedUniqueName index="16" name="[Orders].[Hour (Dilivery time)].&amp;[16]"/>
            <x15:cachedUniqueName index="17" name="[Orders].[Hour (Dilivery time)].&amp;[17]"/>
            <x15:cachedUniqueName index="18" name="[Orders].[Hour (Dilivery time)].&amp;[18]"/>
            <x15:cachedUniqueName index="19" name="[Orders].[Hour (Dilivery time)].&amp;[19]"/>
            <x15:cachedUniqueName index="20" name="[Orders].[Hour (Dilivery time)].&amp;[20]"/>
            <x15:cachedUniqueName index="21" name="[Orders].[Hour (Dilivery time)].&amp;[21]"/>
            <x15:cachedUniqueName index="22" name="[Orders].[Hour (Dilivery time)].&amp;[22]"/>
            <x15:cachedUniqueName index="23" name="[Orders].[Hour (Dilivery time)].&amp;[23]"/>
          </x15:cachedUniqueNames>
        </ext>
      </extLst>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111597916664" backgroundQuery="1" createdVersion="3" refreshedVersion="8" minRefreshableVersion="3" recordCount="0" supportSubquery="1" supportAdvancedDrill="1" xr:uid="{62BED062-FA50-4B45-9DD8-C63A6F7FF156}">
  <cacheSource type="external" connectionId="7">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314415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refreshedDate="46095.135127314818" backgroundQuery="1" createdVersion="3" refreshedVersion="8" minRefreshableVersion="3" recordCount="0" supportSubquery="1" supportAdvancedDrill="1" xr:uid="{D6891535-0F1A-494A-BB3E-4A5008468E78}">
  <cacheSource type="external" connectionId="7">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ilivery time)]" caption="Hour (Dilivery time)" attribute="1" defaultMemberUniqueName="[Orders].[Hour (Dilivery time)].[All]" allUniqueName="[Orders].[Hour (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623064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85CA2-BE18-4C67-BD9A-0DE55D399957}" name="PivotTable7" cacheId="146" applyNumberFormats="0" applyBorderFormats="0" applyFontFormats="0" applyPatternFormats="0" applyAlignmentFormats="0" applyWidthHeightFormats="1" dataCaption="Values" tag="766991bd-e29f-402f-b61a-c24098bc5a39" updatedVersion="8" minRefreshableVersion="5" useAutoFormatting="1" itemPrintTitles="1" createdVersion="8" indent="0" outline="1" outlineData="1" multipleFieldFilters="0" chartFormat="14" rowHeaderCaption="Month Name">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0C63D-2455-421A-85BF-8F0EA2D100BE}" name="PivotTable11" cacheId="143" applyNumberFormats="0" applyBorderFormats="0" applyFontFormats="0" applyPatternFormats="0" applyAlignmentFormats="0" applyWidthHeightFormats="1" dataCaption="Values" tag="0a376aad-ebbe-43ae-84e8-2dc7afc6b317" updatedVersion="8" minRefreshableVersion="5" useAutoFormatting="1" itemPrintTitles="1" createdVersion="8" indent="0" outline="1" outlineData="1" multipleFieldFilters="0" chartFormat="8" rowHeaderCaption="City">
  <location ref="E14:F2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68B486-F6D5-4E86-9EF4-03045520C40B}" name="PivotTable9" cacheId="152" applyNumberFormats="0" applyBorderFormats="0" applyFontFormats="0" applyPatternFormats="0" applyAlignmentFormats="0" applyWidthHeightFormats="1" dataCaption="Values" tag="be9d0443-3229-4ae9-9b8c-53bd0f1f90b5" updatedVersion="8" minRefreshableVersion="5" useAutoFormatting="1" itemPrintTitles="1" createdVersion="8" indent="0" outline="1" outlineData="1" multipleFieldFilters="0" chartFormat="10" rowHeaderCaption="Product_Name">
  <location ref="E5:F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A6C73A-5F9C-4A31-8ADC-A0D6CCC024B1}" name="PivotTable8" cacheId="149" applyNumberFormats="0" applyBorderFormats="0" applyFontFormats="0" applyPatternFormats="0" applyAlignmentFormats="0" applyWidthHeightFormats="1" dataCaption="Values" tag="7d2f20c8-0ae5-41c3-b51b-88355d49b2df" updatedVersion="8" minRefreshableVersion="5" useAutoFormatting="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1"/>
    <dataField name="Sum of Revenue" fld="0" baseField="0" baseItem="0" numFmtId="165"/>
    <dataField name="Average of Diff_order_delivery" fld="1" subtotal="average" baseField="0" baseItem="1"/>
    <dataField name="Average of Customer Spending" fld="2" subtotal="average" baseField="0" baseItem="2" numFmtId="165"/>
  </dataFields>
  <formats count="8">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outline="0" collapsedLevelsAreSubtotals="1" fieldPosition="0">
        <references count="1">
          <reference field="4294967294" count="1" selected="0">
            <x v="1"/>
          </reference>
        </references>
      </pivotArea>
    </format>
    <format dxfId="56">
      <pivotArea outline="0" collapsedLevelsAreSubtotals="1" fieldPosition="0">
        <references count="1">
          <reference field="4294967294" count="1" selected="0">
            <x v="3"/>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1044A0-EDC9-442F-81DC-18C903603588}" name="PivotTable10" cacheId="140" applyNumberFormats="0" applyBorderFormats="0" applyFontFormats="0" applyPatternFormats="0" applyAlignmentFormats="0" applyWidthHeightFormats="1" dataCaption="Values" tag="640a8f43-26c1-41b7-8151-c0171ba70d95" updatedVersion="8" minRefreshableVersion="5" useAutoFormatting="1" itemPrintTitles="1" createdVersion="8" indent="0" outline="1" outlineData="1" multipleFieldFilters="0" chartFormat="3" rowHeaderCaption="Category">
  <location ref="A17:B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E865D8-AB68-40BA-B6E6-88142816C662}" name="PivotTable14" cacheId="155" applyNumberFormats="0" applyBorderFormats="0" applyFontFormats="0" applyPatternFormats="0" applyAlignmentFormats="0" applyWidthHeightFormats="1" dataCaption="Values" tag="974fced7-5f17-4690-a26c-f8d2f3b0dbeb" updatedVersion="8" minRefreshableVersion="5" useAutoFormatting="1" itemPrintTitles="1" createdVersion="8" indent="0" outline="1" outlineData="1" multipleFieldFilters="0" chartFormat="14" rowHeaderCaption="Product_Name">
  <location ref="A28:B53"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5">
    <i>
      <x v="8"/>
    </i>
    <i>
      <x v="1"/>
    </i>
    <i>
      <x v="6"/>
    </i>
    <i>
      <x v="15"/>
    </i>
    <i>
      <x v="14"/>
    </i>
    <i>
      <x v="2"/>
    </i>
    <i>
      <x v="5"/>
    </i>
    <i>
      <x v="4"/>
    </i>
    <i>
      <x v="10"/>
    </i>
    <i>
      <x v="20"/>
    </i>
    <i>
      <x v="22"/>
    </i>
    <i>
      <x v="3"/>
    </i>
    <i>
      <x v="16"/>
    </i>
    <i>
      <x v="13"/>
    </i>
    <i>
      <x v="19"/>
    </i>
    <i>
      <x v="23"/>
    </i>
    <i>
      <x v="11"/>
    </i>
    <i>
      <x v="7"/>
    </i>
    <i>
      <x/>
    </i>
    <i>
      <x v="12"/>
    </i>
    <i>
      <x v="17"/>
    </i>
    <i>
      <x v="9"/>
    </i>
    <i>
      <x v="18"/>
    </i>
    <i>
      <x v="21"/>
    </i>
    <i t="grand">
      <x/>
    </i>
  </rowItems>
  <colItems count="1">
    <i/>
  </colItems>
  <dataFields count="1">
    <dataField name="Sum of Revenue" fld="0" baseField="0" baseItem="0"/>
  </dataField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5B6C76-3780-4838-8FA0-9AEA7601E728}" name="PivotTable12" cacheId="137" applyNumberFormats="0" applyBorderFormats="0" applyFontFormats="0" applyPatternFormats="0" applyAlignmentFormats="0" applyWidthHeightFormats="1" dataCaption="Values" tag="61432949-ca35-47ff-9b18-98bf71041da6" updatedVersion="8" minRefreshableVersion="5" useAutoFormatting="1" itemPrintTitles="1" createdVersion="8" indent="0" outline="1" outlineData="1" multipleFieldFilters="0" chartFormat="27">
  <location ref="H8:I1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0ECB4C6-0F89-415B-80EF-CBDA2590844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BAA0D12-2A03-42DD-A57E-1943670F6A2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ilivery time)" tableColumnId="14"/>
      <queryTableField id="15" name="Price (INR)" tableColumnId="15"/>
      <queryTableField id="16" name="Revenue" tableColumnId="16"/>
      <queryTableField id="18" name="Day_name(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A89919C-5B38-431D-B616-6B4B7CB08C7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88C3D5B-D856-4A7A-A13D-90B43A25D703}" sourceName="[Orders].[Occasion]">
  <pivotTables>
    <pivotTable tabId="5" name="PivotTable12"/>
    <pivotTable tabId="5" name="PivotTable10"/>
    <pivotTable tabId="5" name="PivotTable11"/>
    <pivotTable tabId="5" name="PivotTable7"/>
    <pivotTable tabId="5" name="PivotTable8"/>
    <pivotTable tabId="5" name="PivotTable9"/>
    <pivotTable tabId="5" name="PivotTable14"/>
  </pivotTables>
  <data>
    <olap pivotCacheId="65314415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0DCEA42-FAE4-4537-A8FA-45E7FBCEA5EF}" cache="Slicer_Occasion" caption="Occasion" level="1" style="SlicerStyleDark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91C9D6-1DFF-4875-914C-26D860024D54}" name="Customers" displayName="Customers" ref="A1:G101" tableType="queryTable" totalsRowShown="0">
  <autoFilter ref="A1:G101" xr:uid="{AA91C9D6-1DFF-4875-914C-26D860024D54}"/>
  <tableColumns count="7">
    <tableColumn id="1" xr3:uid="{3F984366-CE98-44F4-A507-21343FB5B70E}" uniqueName="1" name="Customer_ID" queryTableFieldId="1" dataDxfId="81"/>
    <tableColumn id="2" xr3:uid="{703D1F9F-8C20-4D8C-B5AB-EEF66C9ACE71}" uniqueName="2" name="Name" queryTableFieldId="2" dataDxfId="80"/>
    <tableColumn id="3" xr3:uid="{DFF4A6FB-B406-44DF-85BE-49BA98EB5D46}" uniqueName="3" name="City" queryTableFieldId="3" dataDxfId="79"/>
    <tableColumn id="4" xr3:uid="{0E1DC614-C25B-49CB-A47C-D5178982B052}" uniqueName="4" name="Contact_Number" queryTableFieldId="4" dataDxfId="78"/>
    <tableColumn id="5" xr3:uid="{4E62B504-3A3F-43DF-BF40-FCA54D9EA68E}" uniqueName="5" name="Email" queryTableFieldId="5" dataDxfId="77"/>
    <tableColumn id="6" xr3:uid="{83A03DDE-A87E-4480-BFDF-2AA67ABCBA3C}" uniqueName="6" name="Gender" queryTableFieldId="6" dataDxfId="76"/>
    <tableColumn id="7" xr3:uid="{CA9793B3-61DE-4DB4-9A2E-1643C6A43789}" uniqueName="7" name="Address" queryTableFieldId="7" dataDxfId="7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21167E-A730-498A-AA33-39C9CB599C71}" name="Orders" displayName="Orders" ref="A1:Q1001" tableType="queryTable" totalsRowShown="0">
  <autoFilter ref="A1:Q1001" xr:uid="{D021167E-A730-498A-AA33-39C9CB599C71}"/>
  <tableColumns count="17">
    <tableColumn id="1" xr3:uid="{9B47D844-1720-4CBD-A8D2-6E92A1788D75}" uniqueName="1" name="Order_ID" queryTableFieldId="1"/>
    <tableColumn id="2" xr3:uid="{368D87C6-BC0C-4E84-BB01-5D65C7F1E597}" uniqueName="2" name="Customer_ID" queryTableFieldId="2" dataDxfId="74"/>
    <tableColumn id="3" xr3:uid="{CE0D9B42-AC3A-47C8-B4CD-C794EC2D4508}" uniqueName="3" name="Product_ID" queryTableFieldId="3"/>
    <tableColumn id="4" xr3:uid="{04ADC512-6F2E-4543-8BDF-388FC3BAF50A}" uniqueName="4" name="Quantity" queryTableFieldId="4"/>
    <tableColumn id="5" xr3:uid="{758704BB-8E9D-4ADA-97B1-5A0F335B49F4}" uniqueName="5" name="Order_Date" queryTableFieldId="5" dataDxfId="73"/>
    <tableColumn id="6" xr3:uid="{FE0B161A-63E6-4FB4-A35C-4AE8193F8ACE}" uniqueName="6" name="Order_Time" queryTableFieldId="6" dataDxfId="72"/>
    <tableColumn id="7" xr3:uid="{DEC047CD-2741-483A-ADAA-729A5E5D386B}" uniqueName="7" name="Delivery_Date" queryTableFieldId="7" dataDxfId="71"/>
    <tableColumn id="8" xr3:uid="{FF499A5E-B5B5-460D-83F8-17B52FDC6D6B}" uniqueName="8" name="Delivery_Time" queryTableFieldId="8" dataDxfId="70"/>
    <tableColumn id="9" xr3:uid="{5B888B69-105C-491C-8D33-5C1C6AA9234C}" uniqueName="9" name="Location" queryTableFieldId="9" dataDxfId="69"/>
    <tableColumn id="10" xr3:uid="{AF5D8528-9167-492E-854A-A3E251E21C0F}" uniqueName="10" name="Occasion" queryTableFieldId="10" dataDxfId="68"/>
    <tableColumn id="11" xr3:uid="{8DBC0F41-4136-478A-AD80-FEDF86DCE37E}" uniqueName="11" name="Month Name" queryTableFieldId="11" dataDxfId="67"/>
    <tableColumn id="12" xr3:uid="{C93AB71F-22B2-4427-9DD2-5344516B06FE}" uniqueName="12" name="Hour (Order time)" queryTableFieldId="12"/>
    <tableColumn id="13" xr3:uid="{12AE0271-D1E4-4566-821E-2849074C376C}" uniqueName="13" name="Diff_order_delivery" queryTableFieldId="13"/>
    <tableColumn id="14" xr3:uid="{02CD3878-09E2-479C-B12E-B8036ED86DF8}" uniqueName="14" name="Hour (Dilivery time)" queryTableFieldId="14"/>
    <tableColumn id="15" xr3:uid="{625C9735-56B2-47F3-A9AA-7CDFB19C28E1}" uniqueName="15" name="Price (INR)" queryTableFieldId="15"/>
    <tableColumn id="16" xr3:uid="{62FC0267-9F5D-4DFD-9023-A74C8413F1DC}" uniqueName="16" name="Revenue" queryTableFieldId="16"/>
    <tableColumn id="18" xr3:uid="{1FD7E835-36FF-4717-9502-8185E23A2112}" uniqueName="18" name="Day_name(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0BA49F-6967-406D-BED3-4C21EB4F31AE}" name="Products" displayName="Products" ref="A1:E71" tableType="queryTable" totalsRowShown="0">
  <autoFilter ref="A1:E71" xr:uid="{550BA49F-6967-406D-BED3-4C21EB4F31AE}"/>
  <tableColumns count="5">
    <tableColumn id="1" xr3:uid="{C30CCCB9-42A4-4C3D-90CC-F2A292064C40}" uniqueName="1" name="Product_ID" queryTableFieldId="1"/>
    <tableColumn id="2" xr3:uid="{17504B9F-4D2E-4692-8774-DE960E1499EB}" uniqueName="2" name="Product_Name" queryTableFieldId="2" dataDxfId="66"/>
    <tableColumn id="3" xr3:uid="{91C458BC-5C59-4AB1-AAA4-5369E1C0B485}" uniqueName="3" name="Category" queryTableFieldId="3" dataDxfId="65"/>
    <tableColumn id="4" xr3:uid="{B511E617-9F03-4FB7-836C-C0D13B9ACB76}" uniqueName="4" name="Price (INR)" queryTableFieldId="4"/>
    <tableColumn id="5" xr3:uid="{B701698C-A4FA-42E3-9CBA-65EFB8F20887}" uniqueName="5" name="Occasion" queryTableFieldId="5" dataDxfId="6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05E854D-FCB3-408E-B1FC-9C22C277C067}" sourceName="[Orders].[Order_Date]">
  <pivotTables>
    <pivotTable tabId="5" name="PivotTable10"/>
    <pivotTable tabId="5" name="PivotTable11"/>
    <pivotTable tabId="5" name="PivotTable12"/>
    <pivotTable tabId="5" name="PivotTable14"/>
    <pivotTable tabId="5" name="PivotTable7"/>
    <pivotTable tabId="5" name="PivotTable8"/>
    <pivotTable tabId="5" name="PivotTable9"/>
  </pivotTables>
  <state minimalRefreshVersion="6" lastRefreshVersion="6" pivotCacheId="26230641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0B518C4-21EE-42DF-8794-A51468323DA9}" sourceName="[Orders].[Delivery_Date]">
  <pivotTables>
    <pivotTable tabId="5" name="PivotTable10"/>
    <pivotTable tabId="5" name="PivotTable11"/>
    <pivotTable tabId="5" name="PivotTable12"/>
    <pivotTable tabId="5" name="PivotTable14"/>
    <pivotTable tabId="5" name="PivotTable7"/>
    <pivotTable tabId="5" name="PivotTable8"/>
    <pivotTable tabId="5" name="PivotTable9"/>
  </pivotTables>
  <state minimalRefreshVersion="6" lastRefreshVersion="6" pivotCacheId="26230641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B62B953-C78B-43ED-8BCB-8BC1F8E9F015}" cache="Timeline_Order_Date" caption="Order_Date" level="2" selectionLevel="2" scrollPosition="2023-01-01T00:00:00" style="TimeSlicerStyleDark1"/>
  <timeline name="Delivery_Date" xr10:uid="{27CC6E59-AF54-4A97-9627-A5467FDB67A0}" cache="Timeline_Delivery_Date" caption="Delivery_Date" level="2" selectionLevel="2" scrollPosition="2024-05-19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9E87-D811-4A68-865C-7B8E5076D46F}">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739-9AC7-4662-A19F-8F616B2ADC00}">
  <dimension ref="A1:Q1001"/>
  <sheetViews>
    <sheetView topLeftCell="B975" workbookViewId="0">
      <selection activeCell="R8" sqref="R8"/>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 bestFit="1" customWidth="1"/>
    <col min="13" max="13" width="18.88671875" bestFit="1" customWidth="1"/>
    <col min="14" max="14" width="19.6640625" bestFit="1" customWidth="1"/>
    <col min="15" max="15" width="12.21875" bestFit="1" customWidth="1"/>
    <col min="16" max="16" width="10.21875" bestFit="1" customWidth="1"/>
    <col min="17" max="17" width="21.88671875" bestFit="1" customWidth="1"/>
    <col min="18" max="18" width="14.33203125" bestFit="1" customWidth="1"/>
  </cols>
  <sheetData>
    <row r="1" spans="1:17" x14ac:dyDescent="0.3">
      <c r="A1" t="s">
        <v>595</v>
      </c>
      <c r="B1" t="s">
        <v>0</v>
      </c>
      <c r="C1" t="s">
        <v>596</v>
      </c>
      <c r="D1" t="s">
        <v>597</v>
      </c>
      <c r="E1" t="s">
        <v>598</v>
      </c>
      <c r="F1" t="s">
        <v>599</v>
      </c>
      <c r="G1" t="s">
        <v>600</v>
      </c>
      <c r="H1" t="s">
        <v>601</v>
      </c>
      <c r="I1" t="s">
        <v>602</v>
      </c>
      <c r="J1" t="s">
        <v>603</v>
      </c>
      <c r="K1" t="s">
        <v>604</v>
      </c>
      <c r="L1" t="s">
        <v>605</v>
      </c>
      <c r="M1" t="s">
        <v>606</v>
      </c>
      <c r="N1" t="s">
        <v>607</v>
      </c>
      <c r="O1" t="s">
        <v>608</v>
      </c>
      <c r="P1" t="s">
        <v>924</v>
      </c>
      <c r="Q1" t="s">
        <v>925</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926</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927</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928</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926</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929</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926</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926</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929</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929</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926</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926</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926</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930</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930</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930</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931</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927</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926</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926</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927</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926</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929</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929</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926</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929</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927</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929</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931</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932</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928</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931</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928</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926</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926</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926</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926</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930</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927</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927</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928</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929</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926</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930</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927</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926</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929</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930</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931</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931</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929</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929</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927</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931</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929</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926</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929</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932</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930</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931</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926</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926</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929</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926</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927</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930</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926</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926</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929</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927</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928</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928</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930</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929</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929</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926</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928</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926</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931</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926</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932</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931</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927</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926</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927</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928</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929</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930</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928</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927</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929</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929</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932</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926</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926</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929</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930</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926</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931</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927</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930</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932</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929</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928</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930</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932</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930</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929</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929</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929</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930</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930</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926</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930</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928</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927</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931</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929</v>
      </c>
    </row>
    <row r="119" spans="1:17" x14ac:dyDescent="0.3">
      <c r="A119">
        <v>13</v>
      </c>
      <c r="B119" t="s">
        <v>146</v>
      </c>
      <c r="C119">
        <v>20</v>
      </c>
      <c r="D119">
        <v>3</v>
      </c>
      <c r="E119" s="1">
        <v>44981</v>
      </c>
      <c r="F119" s="2">
        <v>0.69949074074074069</v>
      </c>
      <c r="G119" s="1">
        <v>44989</v>
      </c>
      <c r="H119" s="2">
        <v>0.10251157407407407</v>
      </c>
      <c r="I119" t="s">
        <v>693</v>
      </c>
      <c r="J119" t="s">
        <v>688</v>
      </c>
      <c r="K119" t="s">
        <v>611</v>
      </c>
      <c r="L119">
        <v>16</v>
      </c>
      <c r="M119">
        <v>8</v>
      </c>
      <c r="N119">
        <v>2</v>
      </c>
      <c r="O119">
        <v>697</v>
      </c>
      <c r="P119">
        <v>2091</v>
      </c>
      <c r="Q119" t="s">
        <v>928</v>
      </c>
    </row>
    <row r="120" spans="1:17" x14ac:dyDescent="0.3">
      <c r="A120">
        <v>16</v>
      </c>
      <c r="B120" t="s">
        <v>80</v>
      </c>
      <c r="C120">
        <v>20</v>
      </c>
      <c r="D120">
        <v>3</v>
      </c>
      <c r="E120" s="1">
        <v>44973</v>
      </c>
      <c r="F120" s="2">
        <v>0.62929398148148152</v>
      </c>
      <c r="G120" s="1">
        <v>44977</v>
      </c>
      <c r="H120" s="2">
        <v>0.92663194444444441</v>
      </c>
      <c r="I120" t="s">
        <v>694</v>
      </c>
      <c r="J120" t="s">
        <v>688</v>
      </c>
      <c r="K120" t="s">
        <v>611</v>
      </c>
      <c r="L120">
        <v>15</v>
      </c>
      <c r="M120">
        <v>4</v>
      </c>
      <c r="N120">
        <v>22</v>
      </c>
      <c r="O120">
        <v>697</v>
      </c>
      <c r="P120">
        <v>2091</v>
      </c>
      <c r="Q120" t="s">
        <v>932</v>
      </c>
    </row>
    <row r="121" spans="1:17" x14ac:dyDescent="0.3">
      <c r="A121">
        <v>10</v>
      </c>
      <c r="B121" t="s">
        <v>584</v>
      </c>
      <c r="C121">
        <v>56</v>
      </c>
      <c r="D121">
        <v>3</v>
      </c>
      <c r="E121" s="1">
        <v>44983</v>
      </c>
      <c r="F121" s="2">
        <v>1.2106481481481482E-2</v>
      </c>
      <c r="G121" s="1">
        <v>44993</v>
      </c>
      <c r="H121" s="2">
        <v>0.86646990740740737</v>
      </c>
      <c r="I121" t="s">
        <v>695</v>
      </c>
      <c r="J121" t="s">
        <v>688</v>
      </c>
      <c r="K121" t="s">
        <v>611</v>
      </c>
      <c r="L121">
        <v>0</v>
      </c>
      <c r="M121">
        <v>10</v>
      </c>
      <c r="N121">
        <v>20</v>
      </c>
      <c r="O121">
        <v>1272</v>
      </c>
      <c r="P121">
        <v>3816</v>
      </c>
      <c r="Q121" t="s">
        <v>929</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932</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929</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929</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929</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927</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930</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927</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926</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930</v>
      </c>
    </row>
    <row r="131" spans="1:17" x14ac:dyDescent="0.3">
      <c r="A131">
        <v>109</v>
      </c>
      <c r="B131" t="s">
        <v>437</v>
      </c>
      <c r="C131">
        <v>50</v>
      </c>
      <c r="D131">
        <v>5</v>
      </c>
      <c r="E131" s="1">
        <v>44984</v>
      </c>
      <c r="F131" s="2">
        <v>0.64986111111111111</v>
      </c>
      <c r="G131" s="1">
        <v>44986</v>
      </c>
      <c r="H131" s="2">
        <v>0.3603703703703704</v>
      </c>
      <c r="I131" t="s">
        <v>693</v>
      </c>
      <c r="J131" t="s">
        <v>691</v>
      </c>
      <c r="K131" t="s">
        <v>611</v>
      </c>
      <c r="L131">
        <v>15</v>
      </c>
      <c r="M131">
        <v>2</v>
      </c>
      <c r="N131">
        <v>8</v>
      </c>
      <c r="O131">
        <v>422</v>
      </c>
      <c r="P131">
        <v>2110</v>
      </c>
      <c r="Q131" t="s">
        <v>930</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928</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930</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928</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931</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931</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930</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932</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929</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928</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931</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931</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931</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929</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929</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931</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931</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929</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929</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931</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930</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932</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932</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932</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929</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931</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926</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929</v>
      </c>
    </row>
    <row r="159" spans="1:17" x14ac:dyDescent="0.3">
      <c r="A159">
        <v>409</v>
      </c>
      <c r="B159" t="s">
        <v>295</v>
      </c>
      <c r="C159">
        <v>50</v>
      </c>
      <c r="D159">
        <v>4</v>
      </c>
      <c r="E159" s="1">
        <v>44983</v>
      </c>
      <c r="F159" s="2">
        <v>0.73887731481481478</v>
      </c>
      <c r="G159" s="1">
        <v>44985</v>
      </c>
      <c r="H159" s="2">
        <v>0.8228819444444444</v>
      </c>
      <c r="I159" t="s">
        <v>694</v>
      </c>
      <c r="J159" t="s">
        <v>691</v>
      </c>
      <c r="K159" t="s">
        <v>611</v>
      </c>
      <c r="L159">
        <v>17</v>
      </c>
      <c r="M159">
        <v>2</v>
      </c>
      <c r="N159">
        <v>19</v>
      </c>
      <c r="O159">
        <v>422</v>
      </c>
      <c r="P159">
        <v>1688</v>
      </c>
      <c r="Q159" t="s">
        <v>929</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931</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930</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929</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929</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930</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931</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931</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931</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929</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930</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930</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929</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932</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931</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930</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931</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931</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931</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929</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932</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929</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931</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929</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930</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932</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932</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931</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926</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929</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928</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926</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932</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932</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930</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929</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929</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928</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929</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931</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931</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931</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930</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927</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930</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932</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932</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931</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930</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929</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930</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927</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929</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931</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931</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932</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927</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931</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929</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930</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926</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928</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931</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928</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927</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928</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928</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926</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930</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929</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929</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932</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927</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928</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932</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927</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929</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927</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931</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930</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931</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929</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927</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929</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932</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932</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929</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932</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926</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932</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931</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931</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927</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926</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931</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929</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926</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926</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930</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932</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926</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932</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932</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931</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926</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928</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928</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926</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926</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932</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926</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926</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929</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929</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926</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926</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928</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926</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928</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929</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929</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927</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929</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930</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929</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929</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929</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930</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926</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932</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930</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928</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930</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927</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932</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930</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931</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931</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927</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930</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926</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928</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928</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928</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926</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927</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928</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928</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930</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928</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928</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929</v>
      </c>
    </row>
    <row r="311" spans="1:17" x14ac:dyDescent="0.3">
      <c r="A311">
        <v>417</v>
      </c>
      <c r="B311" t="s">
        <v>27</v>
      </c>
      <c r="C311">
        <v>62</v>
      </c>
      <c r="D311">
        <v>4</v>
      </c>
      <c r="E311" s="1">
        <v>44992</v>
      </c>
      <c r="F311" s="2">
        <v>0.94490740740740742</v>
      </c>
      <c r="G311" s="1">
        <v>44996</v>
      </c>
      <c r="H311" s="2">
        <v>0.24760416666666665</v>
      </c>
      <c r="I311" t="s">
        <v>694</v>
      </c>
      <c r="J311" t="s">
        <v>691</v>
      </c>
      <c r="K311" t="s">
        <v>737</v>
      </c>
      <c r="L311">
        <v>22</v>
      </c>
      <c r="M311">
        <v>4</v>
      </c>
      <c r="N311">
        <v>5</v>
      </c>
      <c r="O311">
        <v>1356</v>
      </c>
      <c r="P311">
        <v>5424</v>
      </c>
      <c r="Q311" t="s">
        <v>931</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929</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927</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931</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932</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926</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930</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931</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929</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932</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932</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927</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927</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930</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930</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932</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931</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931</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929</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927</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931</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928</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932</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928</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930</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928</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929</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932</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927</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932</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931</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928</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926</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929</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928</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932</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930</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928</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932</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930</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930</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932</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928</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927</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929</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926</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928</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928</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931</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928</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931</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929</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932</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929</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931</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930</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930</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931</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929</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929</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930</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930</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926</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931</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928</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932</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927</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932</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926</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929</v>
      </c>
    </row>
    <row r="381" spans="1:17" x14ac:dyDescent="0.3">
      <c r="A381">
        <v>27</v>
      </c>
      <c r="B381" t="s">
        <v>373</v>
      </c>
      <c r="C381">
        <v>9</v>
      </c>
      <c r="D381">
        <v>2</v>
      </c>
      <c r="E381" s="1">
        <v>45160</v>
      </c>
      <c r="F381" s="2">
        <v>0.46976851851851853</v>
      </c>
      <c r="G381" s="1">
        <v>45168</v>
      </c>
      <c r="H381" s="2">
        <v>0.33277777777777778</v>
      </c>
      <c r="I381" t="s">
        <v>504</v>
      </c>
      <c r="J381" t="s">
        <v>784</v>
      </c>
      <c r="K381" t="s">
        <v>785</v>
      </c>
      <c r="L381">
        <v>11</v>
      </c>
      <c r="M381">
        <v>8</v>
      </c>
      <c r="N381">
        <v>7</v>
      </c>
      <c r="O381">
        <v>1605</v>
      </c>
      <c r="P381">
        <v>3210</v>
      </c>
      <c r="Q381" t="s">
        <v>931</v>
      </c>
    </row>
    <row r="382" spans="1:17" x14ac:dyDescent="0.3">
      <c r="A382">
        <v>52</v>
      </c>
      <c r="B382" t="s">
        <v>140</v>
      </c>
      <c r="C382">
        <v>9</v>
      </c>
      <c r="D382">
        <v>1</v>
      </c>
      <c r="E382" s="1">
        <v>45167</v>
      </c>
      <c r="F382" s="2">
        <v>0.83011574074074079</v>
      </c>
      <c r="G382" s="1">
        <v>45176</v>
      </c>
      <c r="H382" s="2">
        <v>0.1819675925925926</v>
      </c>
      <c r="I382" t="s">
        <v>786</v>
      </c>
      <c r="J382" t="s">
        <v>784</v>
      </c>
      <c r="K382" t="s">
        <v>785</v>
      </c>
      <c r="L382">
        <v>19</v>
      </c>
      <c r="M382">
        <v>9</v>
      </c>
      <c r="N382">
        <v>4</v>
      </c>
      <c r="O382">
        <v>1605</v>
      </c>
      <c r="P382">
        <v>1605</v>
      </c>
      <c r="Q382" t="s">
        <v>931</v>
      </c>
    </row>
    <row r="383" spans="1:17" x14ac:dyDescent="0.3">
      <c r="A383">
        <v>53</v>
      </c>
      <c r="B383" t="s">
        <v>271</v>
      </c>
      <c r="C383">
        <v>9</v>
      </c>
      <c r="D383">
        <v>5</v>
      </c>
      <c r="E383" s="1">
        <v>45158</v>
      </c>
      <c r="F383" s="2">
        <v>0.35121527777777778</v>
      </c>
      <c r="G383" s="1">
        <v>45165</v>
      </c>
      <c r="H383" s="2">
        <v>0.24966435185185185</v>
      </c>
      <c r="I383" t="s">
        <v>770</v>
      </c>
      <c r="J383" t="s">
        <v>784</v>
      </c>
      <c r="K383" t="s">
        <v>785</v>
      </c>
      <c r="L383">
        <v>8</v>
      </c>
      <c r="M383">
        <v>7</v>
      </c>
      <c r="N383">
        <v>5</v>
      </c>
      <c r="O383">
        <v>1605</v>
      </c>
      <c r="P383">
        <v>8025</v>
      </c>
      <c r="Q383" t="s">
        <v>929</v>
      </c>
    </row>
    <row r="384" spans="1:17" x14ac:dyDescent="0.3">
      <c r="A384">
        <v>71</v>
      </c>
      <c r="B384" t="s">
        <v>80</v>
      </c>
      <c r="C384">
        <v>9</v>
      </c>
      <c r="D384">
        <v>5</v>
      </c>
      <c r="E384" s="1">
        <v>45158</v>
      </c>
      <c r="F384" s="2">
        <v>0.68895833333333334</v>
      </c>
      <c r="G384" s="1">
        <v>45166</v>
      </c>
      <c r="H384" s="2">
        <v>0.5635648148148148</v>
      </c>
      <c r="I384" t="s">
        <v>787</v>
      </c>
      <c r="J384" t="s">
        <v>784</v>
      </c>
      <c r="K384" t="s">
        <v>785</v>
      </c>
      <c r="L384">
        <v>16</v>
      </c>
      <c r="M384">
        <v>8</v>
      </c>
      <c r="N384">
        <v>13</v>
      </c>
      <c r="O384">
        <v>1605</v>
      </c>
      <c r="P384">
        <v>8025</v>
      </c>
      <c r="Q384" t="s">
        <v>929</v>
      </c>
    </row>
    <row r="385" spans="1:17" x14ac:dyDescent="0.3">
      <c r="A385">
        <v>6</v>
      </c>
      <c r="B385" t="s">
        <v>242</v>
      </c>
      <c r="C385">
        <v>28</v>
      </c>
      <c r="D385">
        <v>4</v>
      </c>
      <c r="E385" s="1">
        <v>45158</v>
      </c>
      <c r="F385" s="2">
        <v>0.92471064814814818</v>
      </c>
      <c r="G385" s="1">
        <v>45164</v>
      </c>
      <c r="H385" s="2">
        <v>0.79636574074074074</v>
      </c>
      <c r="I385" t="s">
        <v>674</v>
      </c>
      <c r="J385" t="s">
        <v>784</v>
      </c>
      <c r="K385" t="s">
        <v>785</v>
      </c>
      <c r="L385">
        <v>22</v>
      </c>
      <c r="M385">
        <v>6</v>
      </c>
      <c r="N385">
        <v>19</v>
      </c>
      <c r="O385">
        <v>1778</v>
      </c>
      <c r="P385">
        <v>7112</v>
      </c>
      <c r="Q385" t="s">
        <v>929</v>
      </c>
    </row>
    <row r="386" spans="1:17" x14ac:dyDescent="0.3">
      <c r="A386">
        <v>15</v>
      </c>
      <c r="B386" t="s">
        <v>408</v>
      </c>
      <c r="C386">
        <v>21</v>
      </c>
      <c r="D386">
        <v>5</v>
      </c>
      <c r="E386" s="1">
        <v>45164</v>
      </c>
      <c r="F386" s="2">
        <v>0.11989583333333333</v>
      </c>
      <c r="G386" s="1">
        <v>45168</v>
      </c>
      <c r="H386" s="2">
        <v>0.56024305555555554</v>
      </c>
      <c r="I386" t="s">
        <v>788</v>
      </c>
      <c r="J386" t="s">
        <v>784</v>
      </c>
      <c r="K386" t="s">
        <v>785</v>
      </c>
      <c r="L386">
        <v>2</v>
      </c>
      <c r="M386">
        <v>4</v>
      </c>
      <c r="N386">
        <v>13</v>
      </c>
      <c r="O386">
        <v>1561</v>
      </c>
      <c r="P386">
        <v>7805</v>
      </c>
      <c r="Q386" t="s">
        <v>926</v>
      </c>
    </row>
    <row r="387" spans="1:17" x14ac:dyDescent="0.3">
      <c r="A387">
        <v>9</v>
      </c>
      <c r="B387" t="s">
        <v>265</v>
      </c>
      <c r="C387">
        <v>27</v>
      </c>
      <c r="D387">
        <v>4</v>
      </c>
      <c r="E387" s="1">
        <v>45158</v>
      </c>
      <c r="F387" s="2">
        <v>0.98600694444444448</v>
      </c>
      <c r="G387" s="1">
        <v>45167</v>
      </c>
      <c r="H387" s="2">
        <v>0.99993055555555554</v>
      </c>
      <c r="I387" t="s">
        <v>609</v>
      </c>
      <c r="J387" t="s">
        <v>784</v>
      </c>
      <c r="K387" t="s">
        <v>785</v>
      </c>
      <c r="L387">
        <v>23</v>
      </c>
      <c r="M387">
        <v>9</v>
      </c>
      <c r="N387">
        <v>23</v>
      </c>
      <c r="O387">
        <v>548</v>
      </c>
      <c r="P387">
        <v>2192</v>
      </c>
      <c r="Q387" t="s">
        <v>929</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928</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927</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929</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931</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926</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929</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932</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929</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932</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931</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929</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930</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932</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929</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932</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931</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926</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926</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931</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927</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931</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931</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927</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930</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931</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929</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928</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929</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932</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930</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929</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929</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929</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931</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931</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927</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930</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929</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926</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931</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931</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928</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931</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932</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929</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931</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929</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931</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932</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926</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930</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927</v>
      </c>
    </row>
    <row r="440" spans="1:17" x14ac:dyDescent="0.3">
      <c r="A440">
        <v>467</v>
      </c>
      <c r="B440" t="s">
        <v>334</v>
      </c>
      <c r="C440">
        <v>53</v>
      </c>
      <c r="D440">
        <v>1</v>
      </c>
      <c r="E440" s="1">
        <v>45166</v>
      </c>
      <c r="F440" s="2">
        <v>0.59634259259259259</v>
      </c>
      <c r="G440" s="1">
        <v>45171</v>
      </c>
      <c r="H440" s="2">
        <v>0.63901620370370371</v>
      </c>
      <c r="I440" t="s">
        <v>693</v>
      </c>
      <c r="J440" t="s">
        <v>784</v>
      </c>
      <c r="K440" t="s">
        <v>785</v>
      </c>
      <c r="L440">
        <v>14</v>
      </c>
      <c r="M440">
        <v>5</v>
      </c>
      <c r="N440">
        <v>15</v>
      </c>
      <c r="O440">
        <v>1672</v>
      </c>
      <c r="P440">
        <v>1672</v>
      </c>
      <c r="Q440" t="s">
        <v>930</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930</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930</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931</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929</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931</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929</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929</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928</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931</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928</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929</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931</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931</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930</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929</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927</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929</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930</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930</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931</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928</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929</v>
      </c>
    </row>
    <row r="463" spans="1:17" x14ac:dyDescent="0.3">
      <c r="A463">
        <v>624</v>
      </c>
      <c r="B463" t="s">
        <v>146</v>
      </c>
      <c r="C463">
        <v>53</v>
      </c>
      <c r="D463">
        <v>5</v>
      </c>
      <c r="E463" s="1">
        <v>45167</v>
      </c>
      <c r="F463" s="2">
        <v>0.3888773148148148</v>
      </c>
      <c r="G463" s="1">
        <v>45170</v>
      </c>
      <c r="H463" s="2">
        <v>0.35409722222222223</v>
      </c>
      <c r="I463" t="s">
        <v>695</v>
      </c>
      <c r="J463" t="s">
        <v>784</v>
      </c>
      <c r="K463" t="s">
        <v>785</v>
      </c>
      <c r="L463">
        <v>9</v>
      </c>
      <c r="M463">
        <v>3</v>
      </c>
      <c r="N463">
        <v>8</v>
      </c>
      <c r="O463">
        <v>1672</v>
      </c>
      <c r="P463">
        <v>8360</v>
      </c>
      <c r="Q463" t="s">
        <v>931</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929</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928</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927</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928</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930</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931</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931</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930</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927</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931</v>
      </c>
    </row>
    <row r="474" spans="1:17" x14ac:dyDescent="0.3">
      <c r="A474">
        <v>703</v>
      </c>
      <c r="B474" t="s">
        <v>414</v>
      </c>
      <c r="C474">
        <v>53</v>
      </c>
      <c r="D474">
        <v>4</v>
      </c>
      <c r="E474" s="1">
        <v>45161</v>
      </c>
      <c r="F474" s="2">
        <v>0.68031249999999999</v>
      </c>
      <c r="G474" s="1">
        <v>45170</v>
      </c>
      <c r="H474" s="2">
        <v>0.25839120370370372</v>
      </c>
      <c r="I474" t="s">
        <v>694</v>
      </c>
      <c r="J474" t="s">
        <v>784</v>
      </c>
      <c r="K474" t="s">
        <v>785</v>
      </c>
      <c r="L474">
        <v>16</v>
      </c>
      <c r="M474">
        <v>9</v>
      </c>
      <c r="N474">
        <v>6</v>
      </c>
      <c r="O474">
        <v>1672</v>
      </c>
      <c r="P474">
        <v>6688</v>
      </c>
      <c r="Q474" t="s">
        <v>927</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931</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931</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930</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931</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928</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927</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932</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928</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926</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930</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928</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932</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931</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930</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931</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931</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929</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931</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927</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929</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926</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931</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930</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931</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930</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928</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931</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931</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926</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931</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931</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929</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931</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929</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931</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928</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930</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928</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926</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928</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929</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930</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927</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926</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929</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927</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930</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932</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931</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931</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929</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926</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930</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931</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930</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930</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930</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931</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926</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931</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928</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927</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928</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926</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931</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930</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932</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931</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927</v>
      </c>
    </row>
    <row r="544" spans="1:17" x14ac:dyDescent="0.3">
      <c r="A544">
        <v>969</v>
      </c>
      <c r="B544" t="s">
        <v>27</v>
      </c>
      <c r="C544">
        <v>42</v>
      </c>
      <c r="D544">
        <v>4</v>
      </c>
      <c r="E544" s="1">
        <v>45168</v>
      </c>
      <c r="F544" s="2">
        <v>0.95594907407407403</v>
      </c>
      <c r="G544" s="1">
        <v>45172</v>
      </c>
      <c r="H544" s="2">
        <v>0.14096064814814815</v>
      </c>
      <c r="I544" t="s">
        <v>694</v>
      </c>
      <c r="J544" t="s">
        <v>689</v>
      </c>
      <c r="K544" t="s">
        <v>785</v>
      </c>
      <c r="L544">
        <v>22</v>
      </c>
      <c r="M544">
        <v>4</v>
      </c>
      <c r="N544">
        <v>3</v>
      </c>
      <c r="O544">
        <v>1744</v>
      </c>
      <c r="P544">
        <v>6976</v>
      </c>
      <c r="Q544" t="s">
        <v>927</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932</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929</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926</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931</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931</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931</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929</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927</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928</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932</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927</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930</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930</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928</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931</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930</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927</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928</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931</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931</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930</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930</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927</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929</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927</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927</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926</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931</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927</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926</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927</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932</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931</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926</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929</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931</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928</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932</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926</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928</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931</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932</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927</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932</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932</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926</v>
      </c>
    </row>
    <row r="591" spans="1:17" x14ac:dyDescent="0.3">
      <c r="A591">
        <v>38</v>
      </c>
      <c r="B591" t="s">
        <v>397</v>
      </c>
      <c r="C591">
        <v>37</v>
      </c>
      <c r="D591">
        <v>3</v>
      </c>
      <c r="E591" s="1">
        <v>45241</v>
      </c>
      <c r="F591" s="2">
        <v>0.52115740740740746</v>
      </c>
      <c r="G591" s="1">
        <v>45244</v>
      </c>
      <c r="H591" s="2">
        <v>0.51725694444444448</v>
      </c>
      <c r="I591" t="s">
        <v>202</v>
      </c>
      <c r="J591" t="s">
        <v>819</v>
      </c>
      <c r="K591" t="s">
        <v>812</v>
      </c>
      <c r="L591">
        <v>12</v>
      </c>
      <c r="M591">
        <v>3</v>
      </c>
      <c r="N591">
        <v>12</v>
      </c>
      <c r="O591">
        <v>1428</v>
      </c>
      <c r="P591">
        <v>4284</v>
      </c>
      <c r="Q591" t="s">
        <v>926</v>
      </c>
    </row>
    <row r="592" spans="1:17" x14ac:dyDescent="0.3">
      <c r="A592">
        <v>14</v>
      </c>
      <c r="B592" t="s">
        <v>254</v>
      </c>
      <c r="C592">
        <v>60</v>
      </c>
      <c r="D592">
        <v>1</v>
      </c>
      <c r="E592" s="1">
        <v>45238</v>
      </c>
      <c r="F592" s="2">
        <v>0.1570138888888889</v>
      </c>
      <c r="G592" s="1">
        <v>45245</v>
      </c>
      <c r="H592" s="2">
        <v>0.50557870370370372</v>
      </c>
      <c r="I592" t="s">
        <v>22</v>
      </c>
      <c r="J592" t="s">
        <v>819</v>
      </c>
      <c r="K592" t="s">
        <v>812</v>
      </c>
      <c r="L592">
        <v>3</v>
      </c>
      <c r="M592">
        <v>7</v>
      </c>
      <c r="N592">
        <v>12</v>
      </c>
      <c r="O592">
        <v>827</v>
      </c>
      <c r="P592">
        <v>827</v>
      </c>
      <c r="Q592" t="s">
        <v>927</v>
      </c>
    </row>
    <row r="593" spans="1:17" x14ac:dyDescent="0.3">
      <c r="A593">
        <v>17</v>
      </c>
      <c r="B593" t="s">
        <v>334</v>
      </c>
      <c r="C593">
        <v>60</v>
      </c>
      <c r="D593">
        <v>2</v>
      </c>
      <c r="E593" s="1">
        <v>45234</v>
      </c>
      <c r="F593" s="2">
        <v>0.48024305555555558</v>
      </c>
      <c r="G593" s="1">
        <v>45243</v>
      </c>
      <c r="H593" s="2">
        <v>0.77792824074074074</v>
      </c>
      <c r="I593" t="s">
        <v>308</v>
      </c>
      <c r="J593" t="s">
        <v>819</v>
      </c>
      <c r="K593" t="s">
        <v>812</v>
      </c>
      <c r="L593">
        <v>11</v>
      </c>
      <c r="M593">
        <v>9</v>
      </c>
      <c r="N593">
        <v>18</v>
      </c>
      <c r="O593">
        <v>827</v>
      </c>
      <c r="P593">
        <v>1654</v>
      </c>
      <c r="Q593" t="s">
        <v>926</v>
      </c>
    </row>
    <row r="594" spans="1:17" x14ac:dyDescent="0.3">
      <c r="A594">
        <v>61</v>
      </c>
      <c r="B594" t="s">
        <v>345</v>
      </c>
      <c r="C594">
        <v>44</v>
      </c>
      <c r="D594">
        <v>2</v>
      </c>
      <c r="E594" s="1">
        <v>45238</v>
      </c>
      <c r="F594" s="2">
        <v>0.93501157407407409</v>
      </c>
      <c r="G594" s="1">
        <v>45240</v>
      </c>
      <c r="H594" s="2">
        <v>0.33924768518518517</v>
      </c>
      <c r="I594" t="s">
        <v>662</v>
      </c>
      <c r="J594" t="s">
        <v>819</v>
      </c>
      <c r="K594" t="s">
        <v>812</v>
      </c>
      <c r="L594">
        <v>22</v>
      </c>
      <c r="M594">
        <v>2</v>
      </c>
      <c r="N594">
        <v>8</v>
      </c>
      <c r="O594">
        <v>794</v>
      </c>
      <c r="P594">
        <v>1588</v>
      </c>
      <c r="Q594" t="s">
        <v>927</v>
      </c>
    </row>
    <row r="595" spans="1:17" x14ac:dyDescent="0.3">
      <c r="A595">
        <v>40</v>
      </c>
      <c r="B595" t="s">
        <v>391</v>
      </c>
      <c r="C595">
        <v>48</v>
      </c>
      <c r="D595">
        <v>4</v>
      </c>
      <c r="E595" s="1">
        <v>45232</v>
      </c>
      <c r="F595" s="2">
        <v>0.59386574074074072</v>
      </c>
      <c r="G595" s="1">
        <v>45235</v>
      </c>
      <c r="H595" s="2">
        <v>0.18743055555555554</v>
      </c>
      <c r="I595" t="s">
        <v>820</v>
      </c>
      <c r="J595" t="s">
        <v>819</v>
      </c>
      <c r="K595" t="s">
        <v>812</v>
      </c>
      <c r="L595">
        <v>14</v>
      </c>
      <c r="M595">
        <v>3</v>
      </c>
      <c r="N595">
        <v>4</v>
      </c>
      <c r="O595">
        <v>433</v>
      </c>
      <c r="P595">
        <v>1732</v>
      </c>
      <c r="Q595" t="s">
        <v>932</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932</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932</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928</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930</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930</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926</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926</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932</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928</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928</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932</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931</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926</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928</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932</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932</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927</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930</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930</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932</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926</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928</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929</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926</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926</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930</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927</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931</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927</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930</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929</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932</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929</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928</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932</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926</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930</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929</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932</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932</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926</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932</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928</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927</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929</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927</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927</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932</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929</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932</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926</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931</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926</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932</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930</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926</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931</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928</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927</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932</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931</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930</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932</v>
      </c>
    </row>
    <row r="659" spans="1:17" x14ac:dyDescent="0.3">
      <c r="A659">
        <v>765</v>
      </c>
      <c r="B659" t="s">
        <v>329</v>
      </c>
      <c r="C659">
        <v>41</v>
      </c>
      <c r="D659">
        <v>2</v>
      </c>
      <c r="E659" s="1">
        <v>45233</v>
      </c>
      <c r="F659" s="2">
        <v>0.10949074074074074</v>
      </c>
      <c r="G659" s="1">
        <v>45236</v>
      </c>
      <c r="H659" s="2">
        <v>0.16142361111111111</v>
      </c>
      <c r="I659" t="s">
        <v>695</v>
      </c>
      <c r="J659" t="s">
        <v>819</v>
      </c>
      <c r="K659" t="s">
        <v>812</v>
      </c>
      <c r="L659">
        <v>2</v>
      </c>
      <c r="M659">
        <v>3</v>
      </c>
      <c r="N659">
        <v>3</v>
      </c>
      <c r="O659">
        <v>1977</v>
      </c>
      <c r="P659">
        <v>3954</v>
      </c>
      <c r="Q659" t="s">
        <v>928</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932</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932</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932</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928</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927</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931</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926</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927</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928</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932</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929</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930</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928</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928</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932</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932</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929</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928</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932</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930</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927</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931</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931</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928</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929</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930</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929</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932</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930</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927</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931</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928</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927</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928</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928</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930</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929</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931</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928</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931</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930</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926</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929</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930</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927</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929</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929</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928</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927</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926</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928</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926</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931</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928</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928</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932</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926</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927</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931</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927</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927</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928</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927</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932</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931</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931</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931</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929</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926</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929</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929</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928</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928</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931</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932</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928</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926</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930</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926</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929</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926</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926</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931</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926</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931</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930</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929</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931</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932</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929</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928</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930</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929</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929</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926</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930</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932</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927</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930</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930</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930</v>
      </c>
    </row>
    <row r="761" spans="1:17" x14ac:dyDescent="0.3">
      <c r="A761">
        <v>29</v>
      </c>
      <c r="B761" t="s">
        <v>379</v>
      </c>
      <c r="C761">
        <v>10</v>
      </c>
      <c r="D761">
        <v>5</v>
      </c>
      <c r="E761" s="1">
        <v>45191</v>
      </c>
      <c r="F761" s="2">
        <v>4.6087962962962963E-2</v>
      </c>
      <c r="G761" s="1">
        <v>45200</v>
      </c>
      <c r="H761" s="2">
        <v>0.60365740740740736</v>
      </c>
      <c r="I761" t="s">
        <v>727</v>
      </c>
      <c r="J761" t="s">
        <v>697</v>
      </c>
      <c r="K761" t="s">
        <v>833</v>
      </c>
      <c r="L761">
        <v>1</v>
      </c>
      <c r="M761">
        <v>9</v>
      </c>
      <c r="N761">
        <v>14</v>
      </c>
      <c r="O761">
        <v>259</v>
      </c>
      <c r="P761">
        <v>1295</v>
      </c>
      <c r="Q761" t="s">
        <v>928</v>
      </c>
    </row>
    <row r="762" spans="1:17" x14ac:dyDescent="0.3">
      <c r="A762">
        <v>67</v>
      </c>
      <c r="B762" t="s">
        <v>283</v>
      </c>
      <c r="C762">
        <v>10</v>
      </c>
      <c r="D762">
        <v>2</v>
      </c>
      <c r="E762" s="1">
        <v>45113</v>
      </c>
      <c r="F762" s="2">
        <v>0.72802083333333334</v>
      </c>
      <c r="G762" s="1">
        <v>45121</v>
      </c>
      <c r="H762" s="2">
        <v>0.88265046296296301</v>
      </c>
      <c r="I762" t="s">
        <v>679</v>
      </c>
      <c r="J762" t="s">
        <v>697</v>
      </c>
      <c r="K762" t="s">
        <v>829</v>
      </c>
      <c r="L762">
        <v>17</v>
      </c>
      <c r="M762">
        <v>8</v>
      </c>
      <c r="N762">
        <v>21</v>
      </c>
      <c r="O762">
        <v>259</v>
      </c>
      <c r="P762">
        <v>518</v>
      </c>
      <c r="Q762" t="s">
        <v>932</v>
      </c>
    </row>
    <row r="763" spans="1:17" x14ac:dyDescent="0.3">
      <c r="A763">
        <v>7</v>
      </c>
      <c r="B763" t="s">
        <v>57</v>
      </c>
      <c r="C763">
        <v>45</v>
      </c>
      <c r="D763">
        <v>2</v>
      </c>
      <c r="E763" s="1">
        <v>45054</v>
      </c>
      <c r="F763" s="2">
        <v>7.3067129629629635E-2</v>
      </c>
      <c r="G763" s="1">
        <v>45059</v>
      </c>
      <c r="H763" s="2">
        <v>0.42172453703703705</v>
      </c>
      <c r="I763" t="s">
        <v>804</v>
      </c>
      <c r="J763" t="s">
        <v>697</v>
      </c>
      <c r="K763" t="s">
        <v>830</v>
      </c>
      <c r="L763">
        <v>1</v>
      </c>
      <c r="M763">
        <v>5</v>
      </c>
      <c r="N763">
        <v>10</v>
      </c>
      <c r="O763">
        <v>722</v>
      </c>
      <c r="P763">
        <v>1444</v>
      </c>
      <c r="Q763" t="s">
        <v>930</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927</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928</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930</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930</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930</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930</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926</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928</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931</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929</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926</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931</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928</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931</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929</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932</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932</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930</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929</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932</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929</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928</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930</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929</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927</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928</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927</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928</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930</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926</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931</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928</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928</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929</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926</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929</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926</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929</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928</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929</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932</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927</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929</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927</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929</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927</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931</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928</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929</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926</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929</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928</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931</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932</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931</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932</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930</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928</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929</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932</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932</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929</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928</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926</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927</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929</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928</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927</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926</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931</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930</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928</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931</v>
      </c>
    </row>
    <row r="837" spans="1:17" x14ac:dyDescent="0.3">
      <c r="A837">
        <v>761</v>
      </c>
      <c r="B837" t="s">
        <v>51</v>
      </c>
      <c r="C837">
        <v>24</v>
      </c>
      <c r="D837">
        <v>5</v>
      </c>
      <c r="E837" s="1">
        <v>45034</v>
      </c>
      <c r="F837" s="2">
        <v>0.14251157407407408</v>
      </c>
      <c r="G837" s="1">
        <v>45041</v>
      </c>
      <c r="H837" s="2">
        <v>0.4956712962962963</v>
      </c>
      <c r="I837" t="s">
        <v>695</v>
      </c>
      <c r="J837" t="s">
        <v>697</v>
      </c>
      <c r="K837" t="s">
        <v>827</v>
      </c>
      <c r="L837">
        <v>3</v>
      </c>
      <c r="M837">
        <v>7</v>
      </c>
      <c r="N837">
        <v>11</v>
      </c>
      <c r="O837">
        <v>535</v>
      </c>
      <c r="P837">
        <v>2675</v>
      </c>
      <c r="Q837" t="s">
        <v>931</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929</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926</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929</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928</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927</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932</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927</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931</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931</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931</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929</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928</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932</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930</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927</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928</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929</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928</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926</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932</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932</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928</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926</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928</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926</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929</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932</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929</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928</v>
      </c>
    </row>
    <row r="867" spans="1:17" x14ac:dyDescent="0.3">
      <c r="A867">
        <v>64</v>
      </c>
      <c r="B867" t="s">
        <v>92</v>
      </c>
      <c r="C867">
        <v>25</v>
      </c>
      <c r="D867">
        <v>1</v>
      </c>
      <c r="E867" s="1">
        <v>45089</v>
      </c>
      <c r="F867" s="2">
        <v>0.11711805555555556</v>
      </c>
      <c r="G867" s="1">
        <v>45092</v>
      </c>
      <c r="H867" s="2">
        <v>0.92061342592592588</v>
      </c>
      <c r="I867" t="s">
        <v>741</v>
      </c>
      <c r="J867" t="s">
        <v>688</v>
      </c>
      <c r="K867" t="s">
        <v>831</v>
      </c>
      <c r="L867">
        <v>2</v>
      </c>
      <c r="M867">
        <v>3</v>
      </c>
      <c r="N867">
        <v>22</v>
      </c>
      <c r="O867">
        <v>1202</v>
      </c>
      <c r="P867">
        <v>1202</v>
      </c>
      <c r="Q867" t="s">
        <v>930</v>
      </c>
    </row>
    <row r="868" spans="1:17" x14ac:dyDescent="0.3">
      <c r="A868">
        <v>25</v>
      </c>
      <c r="B868" t="s">
        <v>537</v>
      </c>
      <c r="C868">
        <v>30</v>
      </c>
      <c r="D868">
        <v>3</v>
      </c>
      <c r="E868" s="1">
        <v>45128</v>
      </c>
      <c r="F868" s="2">
        <v>0.44927083333333334</v>
      </c>
      <c r="G868" s="1">
        <v>45131</v>
      </c>
      <c r="H868" s="2">
        <v>0.60326388888888893</v>
      </c>
      <c r="I868" t="s">
        <v>750</v>
      </c>
      <c r="J868" t="s">
        <v>688</v>
      </c>
      <c r="K868" t="s">
        <v>829</v>
      </c>
      <c r="L868">
        <v>10</v>
      </c>
      <c r="M868">
        <v>3</v>
      </c>
      <c r="N868">
        <v>14</v>
      </c>
      <c r="O868">
        <v>751</v>
      </c>
      <c r="P868">
        <v>2253</v>
      </c>
      <c r="Q868" t="s">
        <v>928</v>
      </c>
    </row>
    <row r="869" spans="1:17" x14ac:dyDescent="0.3">
      <c r="A869">
        <v>54</v>
      </c>
      <c r="B869" t="s">
        <v>350</v>
      </c>
      <c r="C869">
        <v>30</v>
      </c>
      <c r="D869">
        <v>1</v>
      </c>
      <c r="E869" s="1">
        <v>45029</v>
      </c>
      <c r="F869" s="2">
        <v>0.41320601851851851</v>
      </c>
      <c r="G869" s="1">
        <v>45039</v>
      </c>
      <c r="H869" s="2">
        <v>0.60484953703703703</v>
      </c>
      <c r="I869" t="s">
        <v>480</v>
      </c>
      <c r="J869" t="s">
        <v>688</v>
      </c>
      <c r="K869" t="s">
        <v>827</v>
      </c>
      <c r="L869">
        <v>9</v>
      </c>
      <c r="M869">
        <v>10</v>
      </c>
      <c r="N869">
        <v>14</v>
      </c>
      <c r="O869">
        <v>751</v>
      </c>
      <c r="P869">
        <v>751</v>
      </c>
      <c r="Q869" t="s">
        <v>932</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932</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928</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928</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932</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928</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930</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927</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930</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928</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927</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931</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932</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930</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930</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928</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931</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930</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931</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932</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929</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931</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929</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931</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927</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929</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926</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929</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932</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927</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931</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926</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931</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930</v>
      </c>
    </row>
    <row r="903" spans="1:17" x14ac:dyDescent="0.3">
      <c r="A903">
        <v>332</v>
      </c>
      <c r="B903" t="s">
        <v>312</v>
      </c>
      <c r="C903">
        <v>20</v>
      </c>
      <c r="D903">
        <v>5</v>
      </c>
      <c r="E903" s="1">
        <v>45027</v>
      </c>
      <c r="F903" s="2">
        <v>0.84320601851851851</v>
      </c>
      <c r="G903" s="1">
        <v>45034</v>
      </c>
      <c r="H903" s="2">
        <v>0.59078703703703705</v>
      </c>
      <c r="I903" t="s">
        <v>694</v>
      </c>
      <c r="J903" t="s">
        <v>688</v>
      </c>
      <c r="K903" t="s">
        <v>827</v>
      </c>
      <c r="L903">
        <v>20</v>
      </c>
      <c r="M903">
        <v>7</v>
      </c>
      <c r="N903">
        <v>14</v>
      </c>
      <c r="O903">
        <v>697</v>
      </c>
      <c r="P903">
        <v>3485</v>
      </c>
      <c r="Q903" t="s">
        <v>931</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927</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932</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929</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930</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927</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932</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928</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926</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926</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932</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928</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927</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927</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932</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931</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931</v>
      </c>
    </row>
    <row r="920" spans="1:17" x14ac:dyDescent="0.3">
      <c r="A920">
        <v>472</v>
      </c>
      <c r="B920" t="s">
        <v>92</v>
      </c>
      <c r="C920">
        <v>56</v>
      </c>
      <c r="D920">
        <v>1</v>
      </c>
      <c r="E920" s="1">
        <v>45284</v>
      </c>
      <c r="F920" s="2">
        <v>0.31432870370370369</v>
      </c>
      <c r="G920" s="1">
        <v>45290</v>
      </c>
      <c r="H920" s="2">
        <v>0.94881944444444444</v>
      </c>
      <c r="I920" t="s">
        <v>694</v>
      </c>
      <c r="J920" t="s">
        <v>688</v>
      </c>
      <c r="K920" t="s">
        <v>826</v>
      </c>
      <c r="L920">
        <v>7</v>
      </c>
      <c r="M920">
        <v>6</v>
      </c>
      <c r="N920">
        <v>22</v>
      </c>
      <c r="O920">
        <v>1272</v>
      </c>
      <c r="P920">
        <v>1272</v>
      </c>
      <c r="Q920" t="s">
        <v>929</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930</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930</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930</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931</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932</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926</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928</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928</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929</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926</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926</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928</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928</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931</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927</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927</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927</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928</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929</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926</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930</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926</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932</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928</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930</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928</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931</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926</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932</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928</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927</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932</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932</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926</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929</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926</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926</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927</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930</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929</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932</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930</v>
      </c>
    </row>
    <row r="963" spans="1:17" x14ac:dyDescent="0.3">
      <c r="A963">
        <v>751</v>
      </c>
      <c r="B963" t="s">
        <v>496</v>
      </c>
      <c r="C963">
        <v>23</v>
      </c>
      <c r="D963">
        <v>5</v>
      </c>
      <c r="E963" s="1">
        <v>45026</v>
      </c>
      <c r="F963" s="2">
        <v>0.30039351851851853</v>
      </c>
      <c r="G963" s="1">
        <v>45031</v>
      </c>
      <c r="H963" s="2">
        <v>7.8171296296296294E-2</v>
      </c>
      <c r="I963" t="s">
        <v>693</v>
      </c>
      <c r="J963" t="s">
        <v>688</v>
      </c>
      <c r="K963" t="s">
        <v>827</v>
      </c>
      <c r="L963">
        <v>7</v>
      </c>
      <c r="M963">
        <v>5</v>
      </c>
      <c r="N963">
        <v>1</v>
      </c>
      <c r="O963">
        <v>1098</v>
      </c>
      <c r="P963">
        <v>5490</v>
      </c>
      <c r="Q963" t="s">
        <v>930</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930</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930</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927</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927</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928</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928</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929</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931</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928</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926</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928</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931</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932</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927</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928</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928</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930</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929</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926</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927</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927</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929</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931</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930</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932</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926</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926</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929</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928</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932</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928</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932</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929</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928</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932</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929</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929</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AE8D-226A-4FEF-B655-5294B1F38B45}">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C6BA0-5A6D-4951-8C5B-E64A9D20817E}">
  <dimension ref="A1:I53"/>
  <sheetViews>
    <sheetView topLeftCell="D1" workbookViewId="0">
      <selection activeCell="H2" sqref="H2"/>
    </sheetView>
  </sheetViews>
  <sheetFormatPr defaultRowHeight="14.4" x14ac:dyDescent="0.3"/>
  <cols>
    <col min="1" max="1" width="15.6640625" bestFit="1" customWidth="1"/>
    <col min="2" max="2" width="14.109375" bestFit="1" customWidth="1"/>
    <col min="5" max="5" width="15.6640625" bestFit="1" customWidth="1"/>
    <col min="6" max="6" width="14.109375" bestFit="1" customWidth="1"/>
    <col min="7" max="7" width="25.77734375" bestFit="1" customWidth="1"/>
    <col min="8" max="8" width="26.44140625" bestFit="1" customWidth="1"/>
    <col min="9" max="9" width="14.109375" bestFit="1" customWidth="1"/>
  </cols>
  <sheetData>
    <row r="1" spans="1:9" x14ac:dyDescent="0.3">
      <c r="A1" s="3" t="s">
        <v>604</v>
      </c>
      <c r="B1" t="s">
        <v>933</v>
      </c>
      <c r="E1" s="5" t="s">
        <v>935</v>
      </c>
      <c r="F1" s="5" t="s">
        <v>933</v>
      </c>
      <c r="G1" s="5" t="s">
        <v>934</v>
      </c>
      <c r="H1" s="5" t="s">
        <v>936</v>
      </c>
    </row>
    <row r="2" spans="1:9" x14ac:dyDescent="0.3">
      <c r="A2" s="4" t="s">
        <v>832</v>
      </c>
      <c r="B2" s="7">
        <v>95468</v>
      </c>
      <c r="E2" s="8">
        <v>1000</v>
      </c>
      <c r="F2" s="6">
        <v>3520984</v>
      </c>
      <c r="G2" s="8">
        <v>5.53</v>
      </c>
      <c r="H2" s="6">
        <v>3520.9839999999999</v>
      </c>
    </row>
    <row r="3" spans="1:9" x14ac:dyDescent="0.3">
      <c r="A3" s="4" t="s">
        <v>611</v>
      </c>
      <c r="B3" s="7">
        <v>704509</v>
      </c>
    </row>
    <row r="4" spans="1:9" x14ac:dyDescent="0.3">
      <c r="A4" s="4" t="s">
        <v>737</v>
      </c>
      <c r="B4" s="7">
        <v>511823</v>
      </c>
    </row>
    <row r="5" spans="1:9" x14ac:dyDescent="0.3">
      <c r="A5" s="4" t="s">
        <v>827</v>
      </c>
      <c r="B5" s="7">
        <v>140393</v>
      </c>
      <c r="E5" s="3" t="s">
        <v>846</v>
      </c>
      <c r="F5" t="s">
        <v>933</v>
      </c>
      <c r="H5">
        <f>CORREL(Orders[Quantity],Orders[Diff_order_delivery])</f>
        <v>3.4781737193018245E-3</v>
      </c>
    </row>
    <row r="6" spans="1:9" x14ac:dyDescent="0.3">
      <c r="A6" s="4" t="s">
        <v>830</v>
      </c>
      <c r="B6" s="7">
        <v>150346</v>
      </c>
      <c r="E6" s="4" t="s">
        <v>867</v>
      </c>
      <c r="F6" s="7">
        <v>97665</v>
      </c>
    </row>
    <row r="7" spans="1:9" x14ac:dyDescent="0.3">
      <c r="A7" s="4" t="s">
        <v>831</v>
      </c>
      <c r="B7" s="7">
        <v>157913</v>
      </c>
      <c r="E7" s="4" t="s">
        <v>908</v>
      </c>
      <c r="F7" s="7">
        <v>106624</v>
      </c>
    </row>
    <row r="8" spans="1:9" x14ac:dyDescent="0.3">
      <c r="A8" s="4" t="s">
        <v>829</v>
      </c>
      <c r="B8" s="7">
        <v>135826</v>
      </c>
      <c r="E8" s="4" t="s">
        <v>900</v>
      </c>
      <c r="F8" s="7">
        <v>101556</v>
      </c>
      <c r="H8" s="3" t="s">
        <v>922</v>
      </c>
      <c r="I8" t="s">
        <v>933</v>
      </c>
    </row>
    <row r="9" spans="1:9" x14ac:dyDescent="0.3">
      <c r="A9" s="4" t="s">
        <v>785</v>
      </c>
      <c r="B9" s="7">
        <v>737389</v>
      </c>
      <c r="E9" s="4" t="s">
        <v>848</v>
      </c>
      <c r="F9" s="7">
        <v>121905</v>
      </c>
      <c r="H9" s="4" t="s">
        <v>689</v>
      </c>
      <c r="I9" s="7">
        <v>586176</v>
      </c>
    </row>
    <row r="10" spans="1:9" x14ac:dyDescent="0.3">
      <c r="A10" s="4" t="s">
        <v>833</v>
      </c>
      <c r="B10" s="7">
        <v>136938</v>
      </c>
      <c r="E10" s="4" t="s">
        <v>874</v>
      </c>
      <c r="F10" s="7">
        <v>114476</v>
      </c>
      <c r="H10" s="4" t="s">
        <v>688</v>
      </c>
      <c r="I10" s="7">
        <v>674634</v>
      </c>
    </row>
    <row r="11" spans="1:9" x14ac:dyDescent="0.3">
      <c r="A11" s="4" t="s">
        <v>835</v>
      </c>
      <c r="B11" s="7">
        <v>151619</v>
      </c>
      <c r="E11" s="4" t="s">
        <v>923</v>
      </c>
      <c r="F11" s="7">
        <v>542226</v>
      </c>
      <c r="H11" s="4" t="s">
        <v>697</v>
      </c>
      <c r="I11" s="7">
        <v>408194</v>
      </c>
    </row>
    <row r="12" spans="1:9" x14ac:dyDescent="0.3">
      <c r="A12" s="4" t="s">
        <v>812</v>
      </c>
      <c r="B12" s="7">
        <v>449169</v>
      </c>
      <c r="H12" s="4" t="s">
        <v>819</v>
      </c>
      <c r="I12" s="7">
        <v>313783</v>
      </c>
    </row>
    <row r="13" spans="1:9" x14ac:dyDescent="0.3">
      <c r="A13" s="4" t="s">
        <v>826</v>
      </c>
      <c r="B13" s="7">
        <v>149591</v>
      </c>
      <c r="H13" s="4" t="s">
        <v>691</v>
      </c>
      <c r="I13" s="7">
        <v>574682</v>
      </c>
    </row>
    <row r="14" spans="1:9" x14ac:dyDescent="0.3">
      <c r="A14" s="4" t="s">
        <v>923</v>
      </c>
      <c r="B14" s="7">
        <v>3520984</v>
      </c>
      <c r="E14" s="3" t="s">
        <v>2</v>
      </c>
      <c r="F14" t="s">
        <v>935</v>
      </c>
      <c r="H14" s="4" t="s">
        <v>784</v>
      </c>
      <c r="I14" s="7">
        <v>631585</v>
      </c>
    </row>
    <row r="15" spans="1:9" x14ac:dyDescent="0.3">
      <c r="E15" s="4" t="s">
        <v>208</v>
      </c>
      <c r="F15" s="7">
        <v>18</v>
      </c>
      <c r="H15" s="4" t="s">
        <v>610</v>
      </c>
      <c r="I15" s="7">
        <v>331930</v>
      </c>
    </row>
    <row r="16" spans="1:9" x14ac:dyDescent="0.3">
      <c r="E16" s="4" t="s">
        <v>142</v>
      </c>
      <c r="F16" s="7">
        <v>21</v>
      </c>
      <c r="H16" s="4" t="s">
        <v>923</v>
      </c>
      <c r="I16" s="7">
        <v>3520984</v>
      </c>
    </row>
    <row r="17" spans="1:6" x14ac:dyDescent="0.3">
      <c r="A17" s="3" t="s">
        <v>847</v>
      </c>
      <c r="B17" t="s">
        <v>933</v>
      </c>
      <c r="E17" s="4" t="s">
        <v>22</v>
      </c>
      <c r="F17" s="7">
        <v>18</v>
      </c>
    </row>
    <row r="18" spans="1:6" x14ac:dyDescent="0.3">
      <c r="A18" s="4" t="s">
        <v>858</v>
      </c>
      <c r="B18" s="7">
        <v>329862</v>
      </c>
      <c r="E18" s="4" t="s">
        <v>314</v>
      </c>
      <c r="F18" s="7">
        <v>28</v>
      </c>
    </row>
    <row r="19" spans="1:6" x14ac:dyDescent="0.3">
      <c r="A19" s="4" t="s">
        <v>853</v>
      </c>
      <c r="B19" s="7">
        <v>1005645</v>
      </c>
      <c r="E19" s="4" t="s">
        <v>220</v>
      </c>
      <c r="F19" s="7">
        <v>21</v>
      </c>
    </row>
    <row r="20" spans="1:6" x14ac:dyDescent="0.3">
      <c r="A20" s="4" t="s">
        <v>864</v>
      </c>
      <c r="B20" s="7">
        <v>201151</v>
      </c>
      <c r="E20" s="4" t="s">
        <v>291</v>
      </c>
      <c r="F20" s="7">
        <v>20</v>
      </c>
    </row>
    <row r="21" spans="1:6" x14ac:dyDescent="0.3">
      <c r="A21" s="4" t="s">
        <v>851</v>
      </c>
      <c r="B21" s="7">
        <v>212281</v>
      </c>
      <c r="E21" s="4" t="s">
        <v>178</v>
      </c>
      <c r="F21" s="7">
        <v>24</v>
      </c>
    </row>
    <row r="22" spans="1:6" x14ac:dyDescent="0.3">
      <c r="A22" s="4" t="s">
        <v>784</v>
      </c>
      <c r="B22" s="7">
        <v>297372</v>
      </c>
      <c r="E22" s="4" t="s">
        <v>297</v>
      </c>
      <c r="F22" s="7">
        <v>29</v>
      </c>
    </row>
    <row r="23" spans="1:6" x14ac:dyDescent="0.3">
      <c r="A23" s="4" t="s">
        <v>849</v>
      </c>
      <c r="B23" s="7">
        <v>740831</v>
      </c>
      <c r="E23" s="4" t="s">
        <v>148</v>
      </c>
      <c r="F23" s="7">
        <v>27</v>
      </c>
    </row>
    <row r="24" spans="1:6" x14ac:dyDescent="0.3">
      <c r="A24" s="4" t="s">
        <v>855</v>
      </c>
      <c r="B24" s="7">
        <v>733842</v>
      </c>
      <c r="E24" s="4" t="s">
        <v>387</v>
      </c>
      <c r="F24" s="7">
        <v>19</v>
      </c>
    </row>
    <row r="25" spans="1:6" x14ac:dyDescent="0.3">
      <c r="A25" s="4" t="s">
        <v>923</v>
      </c>
      <c r="B25" s="7">
        <v>3520984</v>
      </c>
      <c r="E25" s="4" t="s">
        <v>923</v>
      </c>
      <c r="F25" s="7">
        <v>225</v>
      </c>
    </row>
    <row r="28" spans="1:6" x14ac:dyDescent="0.3">
      <c r="A28" s="3" t="s">
        <v>846</v>
      </c>
      <c r="B28" t="s">
        <v>933</v>
      </c>
    </row>
    <row r="29" spans="1:6" x14ac:dyDescent="0.3">
      <c r="A29" s="4">
        <v>8</v>
      </c>
      <c r="B29" s="7">
        <v>225859</v>
      </c>
    </row>
    <row r="30" spans="1:6" x14ac:dyDescent="0.3">
      <c r="A30" s="4">
        <v>1</v>
      </c>
      <c r="B30" s="7">
        <v>201734</v>
      </c>
    </row>
    <row r="31" spans="1:6" x14ac:dyDescent="0.3">
      <c r="A31" s="4">
        <v>6</v>
      </c>
      <c r="B31" s="7">
        <v>187096</v>
      </c>
    </row>
    <row r="32" spans="1:6" x14ac:dyDescent="0.3">
      <c r="A32" s="4">
        <v>15</v>
      </c>
      <c r="B32" s="7">
        <v>167033</v>
      </c>
    </row>
    <row r="33" spans="1:2" x14ac:dyDescent="0.3">
      <c r="A33" s="4">
        <v>14</v>
      </c>
      <c r="B33" s="7">
        <v>161658</v>
      </c>
    </row>
    <row r="34" spans="1:2" x14ac:dyDescent="0.3">
      <c r="A34" s="4">
        <v>2</v>
      </c>
      <c r="B34" s="7">
        <v>161010</v>
      </c>
    </row>
    <row r="35" spans="1:2" x14ac:dyDescent="0.3">
      <c r="A35" s="4">
        <v>5</v>
      </c>
      <c r="B35" s="7">
        <v>156305</v>
      </c>
    </row>
    <row r="36" spans="1:2" x14ac:dyDescent="0.3">
      <c r="A36" s="4">
        <v>4</v>
      </c>
      <c r="B36" s="7">
        <v>154015</v>
      </c>
    </row>
    <row r="37" spans="1:2" x14ac:dyDescent="0.3">
      <c r="A37" s="4">
        <v>10</v>
      </c>
      <c r="B37" s="7">
        <v>152044</v>
      </c>
    </row>
    <row r="38" spans="1:2" x14ac:dyDescent="0.3">
      <c r="A38" s="4">
        <v>20</v>
      </c>
      <c r="B38" s="7">
        <v>151116</v>
      </c>
    </row>
    <row r="39" spans="1:2" x14ac:dyDescent="0.3">
      <c r="A39" s="4">
        <v>22</v>
      </c>
      <c r="B39" s="7">
        <v>149827</v>
      </c>
    </row>
    <row r="40" spans="1:2" x14ac:dyDescent="0.3">
      <c r="A40" s="4">
        <v>3</v>
      </c>
      <c r="B40" s="7">
        <v>147631</v>
      </c>
    </row>
    <row r="41" spans="1:2" x14ac:dyDescent="0.3">
      <c r="A41" s="4">
        <v>16</v>
      </c>
      <c r="B41" s="7">
        <v>147207</v>
      </c>
    </row>
    <row r="42" spans="1:2" x14ac:dyDescent="0.3">
      <c r="A42" s="4">
        <v>13</v>
      </c>
      <c r="B42" s="7">
        <v>141402</v>
      </c>
    </row>
    <row r="43" spans="1:2" x14ac:dyDescent="0.3">
      <c r="A43" s="4">
        <v>19</v>
      </c>
      <c r="B43" s="7">
        <v>140499</v>
      </c>
    </row>
    <row r="44" spans="1:2" x14ac:dyDescent="0.3">
      <c r="A44" s="4">
        <v>23</v>
      </c>
      <c r="B44" s="7">
        <v>140001</v>
      </c>
    </row>
    <row r="45" spans="1:2" x14ac:dyDescent="0.3">
      <c r="A45" s="4">
        <v>11</v>
      </c>
      <c r="B45" s="7">
        <v>131134</v>
      </c>
    </row>
    <row r="46" spans="1:2" x14ac:dyDescent="0.3">
      <c r="A46" s="4">
        <v>7</v>
      </c>
      <c r="B46" s="7">
        <v>128144</v>
      </c>
    </row>
    <row r="47" spans="1:2" x14ac:dyDescent="0.3">
      <c r="A47" s="4">
        <v>0</v>
      </c>
      <c r="B47" s="7">
        <v>119025</v>
      </c>
    </row>
    <row r="48" spans="1:2" x14ac:dyDescent="0.3">
      <c r="A48" s="4">
        <v>12</v>
      </c>
      <c r="B48" s="7">
        <v>117519</v>
      </c>
    </row>
    <row r="49" spans="1:2" x14ac:dyDescent="0.3">
      <c r="A49" s="4">
        <v>17</v>
      </c>
      <c r="B49" s="7">
        <v>116344</v>
      </c>
    </row>
    <row r="50" spans="1:2" x14ac:dyDescent="0.3">
      <c r="A50" s="4">
        <v>9</v>
      </c>
      <c r="B50" s="7">
        <v>115796</v>
      </c>
    </row>
    <row r="51" spans="1:2" x14ac:dyDescent="0.3">
      <c r="A51" s="4">
        <v>18</v>
      </c>
      <c r="B51" s="7">
        <v>108315</v>
      </c>
    </row>
    <row r="52" spans="1:2" x14ac:dyDescent="0.3">
      <c r="A52" s="4">
        <v>21</v>
      </c>
      <c r="B52" s="7">
        <v>100270</v>
      </c>
    </row>
    <row r="53" spans="1:2" x14ac:dyDescent="0.3">
      <c r="A53" s="4" t="s">
        <v>923</v>
      </c>
      <c r="B53"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E9746-AE55-49C1-9D65-EB3A76113AEA}">
  <dimension ref="A1"/>
  <sheetViews>
    <sheetView showGridLines="0" tabSelected="1" zoomScale="64" workbookViewId="0">
      <selection activeCell="AC10" sqref="AC10"/>
    </sheetView>
  </sheetViews>
  <sheetFormatPr defaultRowHeight="14.4" x14ac:dyDescent="0.3"/>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F9E11C0D-7D5B-44CF-A528-A3C5C04D30A9}">
  <ds:schemaRefs/>
</ds:datastoreItem>
</file>

<file path=customXml/itemProps2.xml><?xml version="1.0" encoding="utf-8"?>
<ds:datastoreItem xmlns:ds="http://schemas.openxmlformats.org/officeDocument/2006/customXml" ds:itemID="{67641889-4162-466A-AB1A-C2B6F07138A9}">
  <ds:schemaRefs/>
</ds:datastoreItem>
</file>

<file path=customXml/itemProps3.xml><?xml version="1.0" encoding="utf-8"?>
<ds:datastoreItem xmlns:ds="http://schemas.openxmlformats.org/officeDocument/2006/customXml" ds:itemID="{805F2077-2415-4C13-B031-8662334EB1AD}">
  <ds:schemaRefs/>
</ds:datastoreItem>
</file>

<file path=customXml/itemProps4.xml><?xml version="1.0" encoding="utf-8"?>
<ds:datastoreItem xmlns:ds="http://schemas.openxmlformats.org/officeDocument/2006/customXml" ds:itemID="{175161F6-5610-417A-9C99-975B8CD688E3}">
  <ds:schemaRefs/>
</ds:datastoreItem>
</file>

<file path=customXml/itemProps5.xml><?xml version="1.0" encoding="utf-8"?>
<ds:datastoreItem xmlns:ds="http://schemas.openxmlformats.org/officeDocument/2006/customXml" ds:itemID="{7E58B6F4-9D99-4F69-BA49-B8F8EDEFEE78}">
  <ds:schemaRefs/>
</ds:datastoreItem>
</file>

<file path=customXml/itemProps6.xml><?xml version="1.0" encoding="utf-8"?>
<ds:datastoreItem xmlns:ds="http://schemas.openxmlformats.org/officeDocument/2006/customXml" ds:itemID="{6286BD83-1FD2-45F2-8CF6-A34DC535CF4F}">
  <ds:schemaRefs/>
</ds:datastoreItem>
</file>

<file path=customXml/itemProps7.xml><?xml version="1.0" encoding="utf-8"?>
<ds:datastoreItem xmlns:ds="http://schemas.openxmlformats.org/officeDocument/2006/customXml" ds:itemID="{E14EC775-81C8-4C6C-95BA-E832258ECDA8}">
  <ds:schemaRefs/>
</ds:datastoreItem>
</file>

<file path=customXml/itemProps8.xml><?xml version="1.0" encoding="utf-8"?>
<ds:datastoreItem xmlns:ds="http://schemas.openxmlformats.org/officeDocument/2006/customXml" ds:itemID="{2C08E08D-2ABC-4AE4-BC17-91B0664FB06F}">
  <ds:schemaRefs/>
</ds:datastoreItem>
</file>

<file path=customXml/itemProps9.xml><?xml version="1.0" encoding="utf-8"?>
<ds:datastoreItem xmlns:ds="http://schemas.openxmlformats.org/officeDocument/2006/customXml" ds:itemID="{94BC643F-CEDF-4C9A-AB8D-8D4592AE4E98}">
  <ds:schemaRefs/>
</ds:datastoreItem>
</file>

<file path=customXml/itemProps10.xml><?xml version="1.0" encoding="utf-8"?>
<ds:datastoreItem xmlns:ds="http://schemas.openxmlformats.org/officeDocument/2006/customXml" ds:itemID="{209D2D62-1057-49CA-ADCA-5015942ECE85}">
  <ds:schemaRefs/>
</ds:datastoreItem>
</file>

<file path=customXml/itemProps11.xml><?xml version="1.0" encoding="utf-8"?>
<ds:datastoreItem xmlns:ds="http://schemas.openxmlformats.org/officeDocument/2006/customXml" ds:itemID="{12E1D45D-E360-4855-AAC6-3A71028A4571}">
  <ds:schemaRefs/>
</ds:datastoreItem>
</file>

<file path=customXml/itemProps12.xml><?xml version="1.0" encoding="utf-8"?>
<ds:datastoreItem xmlns:ds="http://schemas.openxmlformats.org/officeDocument/2006/customXml" ds:itemID="{FA8C2C90-697A-4C62-9014-232EF4A7C138}">
  <ds:schemaRefs/>
</ds:datastoreItem>
</file>

<file path=customXml/itemProps13.xml><?xml version="1.0" encoding="utf-8"?>
<ds:datastoreItem xmlns:ds="http://schemas.openxmlformats.org/officeDocument/2006/customXml" ds:itemID="{2FD344B1-88E9-4605-AAF4-F5BD935253B7}">
  <ds:schemaRefs/>
</ds:datastoreItem>
</file>

<file path=customXml/itemProps14.xml><?xml version="1.0" encoding="utf-8"?>
<ds:datastoreItem xmlns:ds="http://schemas.openxmlformats.org/officeDocument/2006/customXml" ds:itemID="{18FC9205-25B3-4F38-A969-6E1D78801AB3}">
  <ds:schemaRefs/>
</ds:datastoreItem>
</file>

<file path=customXml/itemProps15.xml><?xml version="1.0" encoding="utf-8"?>
<ds:datastoreItem xmlns:ds="http://schemas.openxmlformats.org/officeDocument/2006/customXml" ds:itemID="{BDB53998-88E6-43F8-8BF3-8ACA5D0B9FCC}">
  <ds:schemaRefs/>
</ds:datastoreItem>
</file>

<file path=customXml/itemProps16.xml><?xml version="1.0" encoding="utf-8"?>
<ds:datastoreItem xmlns:ds="http://schemas.openxmlformats.org/officeDocument/2006/customXml" ds:itemID="{52F64E8C-7C1B-4CB5-816C-CBB379DE6649}">
  <ds:schemaRefs>
    <ds:schemaRef ds:uri="http://schemas.microsoft.com/DataMashup"/>
  </ds:schemaRefs>
</ds:datastoreItem>
</file>

<file path=customXml/itemProps17.xml><?xml version="1.0" encoding="utf-8"?>
<ds:datastoreItem xmlns:ds="http://schemas.openxmlformats.org/officeDocument/2006/customXml" ds:itemID="{A33D8436-5C5A-4FA0-94E7-D9FAEDAADB8F}">
  <ds:schemaRefs/>
</ds:datastoreItem>
</file>

<file path=customXml/itemProps18.xml><?xml version="1.0" encoding="utf-8"?>
<ds:datastoreItem xmlns:ds="http://schemas.openxmlformats.org/officeDocument/2006/customXml" ds:itemID="{ECC9E148-7623-46FF-BB7E-CCD3AF9BAAC8}">
  <ds:schemaRefs/>
</ds:datastoreItem>
</file>

<file path=customXml/itemProps19.xml><?xml version="1.0" encoding="utf-8"?>
<ds:datastoreItem xmlns:ds="http://schemas.openxmlformats.org/officeDocument/2006/customXml" ds:itemID="{8943E457-B200-4818-BFE5-CCBE4B412B99}">
  <ds:schemaRefs/>
</ds:datastoreItem>
</file>

<file path=customXml/itemProps20.xml><?xml version="1.0" encoding="utf-8"?>
<ds:datastoreItem xmlns:ds="http://schemas.openxmlformats.org/officeDocument/2006/customXml" ds:itemID="{434ECD39-60C4-4DD5-BA91-FCB2FAD8E9C2}">
  <ds:schemaRefs/>
</ds:datastoreItem>
</file>

<file path=customXml/itemProps21.xml><?xml version="1.0" encoding="utf-8"?>
<ds:datastoreItem xmlns:ds="http://schemas.openxmlformats.org/officeDocument/2006/customXml" ds:itemID="{C720D651-DA57-4AC9-B052-7144A7DEB4E1}">
  <ds:schemaRefs/>
</ds:datastoreItem>
</file>

<file path=customXml/itemProps22.xml><?xml version="1.0" encoding="utf-8"?>
<ds:datastoreItem xmlns:ds="http://schemas.openxmlformats.org/officeDocument/2006/customXml" ds:itemID="{AC4095BC-AB95-4175-B00F-4573CEC44167}">
  <ds:schemaRefs/>
</ds:datastoreItem>
</file>

<file path=customXml/itemProps23.xml><?xml version="1.0" encoding="utf-8"?>
<ds:datastoreItem xmlns:ds="http://schemas.openxmlformats.org/officeDocument/2006/customXml" ds:itemID="{A73E17F3-B2A6-4E1A-BA34-DC176E1D5608}">
  <ds:schemaRefs/>
</ds:datastoreItem>
</file>

<file path=customXml/itemProps24.xml><?xml version="1.0" encoding="utf-8"?>
<ds:datastoreItem xmlns:ds="http://schemas.openxmlformats.org/officeDocument/2006/customXml" ds:itemID="{75226850-216E-456B-9EA7-6975F4AC866B}">
  <ds:schemaRefs/>
</ds:datastoreItem>
</file>

<file path=customXml/itemProps25.xml><?xml version="1.0" encoding="utf-8"?>
<ds:datastoreItem xmlns:ds="http://schemas.openxmlformats.org/officeDocument/2006/customXml" ds:itemID="{9EDA1FAA-9CA9-4BCD-8DE2-AF74C27BDF73}">
  <ds:schemaRefs/>
</ds:datastoreItem>
</file>

<file path=customXml/itemProps26.xml><?xml version="1.0" encoding="utf-8"?>
<ds:datastoreItem xmlns:ds="http://schemas.openxmlformats.org/officeDocument/2006/customXml" ds:itemID="{838B0992-B4C6-4275-BCEA-4E266A6D5CCA}">
  <ds:schemaRefs/>
</ds:datastoreItem>
</file>

<file path=customXml/itemProps27.xml><?xml version="1.0" encoding="utf-8"?>
<ds:datastoreItem xmlns:ds="http://schemas.openxmlformats.org/officeDocument/2006/customXml" ds:itemID="{73D1BC69-A25D-40DF-9ACD-414FFE973D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Shende</dc:creator>
  <cp:lastModifiedBy>Ashwin Shende</cp:lastModifiedBy>
  <dcterms:created xsi:type="dcterms:W3CDTF">2026-03-13T10:43:29Z</dcterms:created>
  <dcterms:modified xsi:type="dcterms:W3CDTF">2026-03-14T08:22:43Z</dcterms:modified>
</cp:coreProperties>
</file>